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archive\"/>
    </mc:Choice>
  </mc:AlternateContent>
  <xr:revisionPtr revIDLastSave="0" documentId="13_ncr:1_{6F09F2A8-0D8C-47D5-AE1E-034EC87167A4}" xr6:coauthVersionLast="47" xr6:coauthVersionMax="47" xr10:uidLastSave="{00000000-0000-0000-0000-000000000000}"/>
  <bookViews>
    <workbookView xWindow="-108" yWindow="-108" windowWidth="23256" windowHeight="12456" activeTab="5" xr2:uid="{5F582CA2-A105-471F-A27F-7BC4A40EA1B8}"/>
  </bookViews>
  <sheets>
    <sheet name="Dataset" sheetId="2" r:id="rId1"/>
    <sheet name="Logical Function" sheetId="1" r:id="rId2"/>
    <sheet name="Lookup" sheetId="3" r:id="rId3"/>
    <sheet name="Sorting" sheetId="4" r:id="rId4"/>
    <sheet name="Pivot_Table" sheetId="6" r:id="rId5"/>
    <sheet name="Pivot Chart" sheetId="5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5" i="3" l="1"/>
  <c r="T21" i="3"/>
  <c r="T16" i="3"/>
  <c r="T11" i="3"/>
  <c r="T6" i="3"/>
  <c r="AK10" i="1"/>
  <c r="AK5" i="1"/>
  <c r="AC20" i="1"/>
  <c r="AC15" i="1"/>
  <c r="AC10" i="1"/>
  <c r="AC5" i="1"/>
  <c r="U20" i="1"/>
  <c r="U15" i="1"/>
  <c r="U10" i="1"/>
  <c r="U5" i="1"/>
</calcChain>
</file>

<file path=xl/sharedStrings.xml><?xml version="1.0" encoding="utf-8"?>
<sst xmlns="http://schemas.openxmlformats.org/spreadsheetml/2006/main" count="5744" uniqueCount="851">
  <si>
    <t>Book_ID</t>
  </si>
  <si>
    <t>Book_Title</t>
  </si>
  <si>
    <t>Author</t>
  </si>
  <si>
    <t>Category</t>
  </si>
  <si>
    <t>ISBN</t>
  </si>
  <si>
    <t>Price</t>
  </si>
  <si>
    <t>Language</t>
  </si>
  <si>
    <t>Total_Copies</t>
  </si>
  <si>
    <t>Issued_Copies</t>
  </si>
  <si>
    <t>Available_Copies</t>
  </si>
  <si>
    <t>Issue_Date</t>
  </si>
  <si>
    <t>Due_Date</t>
  </si>
  <si>
    <t>Issue_Days_Allowed</t>
  </si>
  <si>
    <t>Fine_Amount</t>
  </si>
  <si>
    <t>Shelf_Location</t>
  </si>
  <si>
    <t>Book_Condition</t>
  </si>
  <si>
    <t>Data Structures</t>
  </si>
  <si>
    <t>Seymour Lipschutz</t>
  </si>
  <si>
    <t>Computer Science</t>
  </si>
  <si>
    <t>978-3-16-148410</t>
  </si>
  <si>
    <t>German</t>
  </si>
  <si>
    <t>D-200</t>
  </si>
  <si>
    <t>Fair</t>
  </si>
  <si>
    <t>Database Management Systems</t>
  </si>
  <si>
    <t>Abraham Silberschatz</t>
  </si>
  <si>
    <t>978-3-16-148411</t>
  </si>
  <si>
    <t>Hindi</t>
  </si>
  <si>
    <t>A-363</t>
  </si>
  <si>
    <t>Good</t>
  </si>
  <si>
    <t>Operating Systems</t>
  </si>
  <si>
    <t>Henry Korth</t>
  </si>
  <si>
    <t>978-3-16-148412</t>
  </si>
  <si>
    <t>English</t>
  </si>
  <si>
    <t>E-159</t>
  </si>
  <si>
    <t>New</t>
  </si>
  <si>
    <t>Computer Networks</t>
  </si>
  <si>
    <t>Andrew Tanenbaum</t>
  </si>
  <si>
    <t>978-3-16-148413</t>
  </si>
  <si>
    <t>French</t>
  </si>
  <si>
    <t>D-207</t>
  </si>
  <si>
    <t>Gary Dessler</t>
  </si>
  <si>
    <t>Software Engineering</t>
  </si>
  <si>
    <t>Ian Sommerville</t>
  </si>
  <si>
    <t>978-3-16-148414</t>
  </si>
  <si>
    <t>E-202</t>
  </si>
  <si>
    <t>Computer Architecture</t>
  </si>
  <si>
    <t>David A. Patterson</t>
  </si>
  <si>
    <t>978-3-16-148415</t>
  </si>
  <si>
    <t>D-361</t>
  </si>
  <si>
    <t>Theory of Computation</t>
  </si>
  <si>
    <t>Michael Sipser</t>
  </si>
  <si>
    <t>978-3-16-148416</t>
  </si>
  <si>
    <t>E-471</t>
  </si>
  <si>
    <t>Compiler Design</t>
  </si>
  <si>
    <t>Alfred Aho</t>
  </si>
  <si>
    <t>978-3-16-148417</t>
  </si>
  <si>
    <t>C-410</t>
  </si>
  <si>
    <t>Artificial Intelligence</t>
  </si>
  <si>
    <t>Stuart Russell</t>
  </si>
  <si>
    <t>978-3-16-148418</t>
  </si>
  <si>
    <t>D-243</t>
  </si>
  <si>
    <t>C Programming</t>
  </si>
  <si>
    <t>Machine Learning</t>
  </si>
  <si>
    <t>Tom Mitchell</t>
  </si>
  <si>
    <t>978-3-16-148419</t>
  </si>
  <si>
    <t>Spanish</t>
  </si>
  <si>
    <t>E-469</t>
  </si>
  <si>
    <t>Deep Learning</t>
  </si>
  <si>
    <t>Ian Goodfellow</t>
  </si>
  <si>
    <t>978-3-16-148420</t>
  </si>
  <si>
    <t>D-205</t>
  </si>
  <si>
    <t>Data Science Essentials</t>
  </si>
  <si>
    <t>Joel Grus</t>
  </si>
  <si>
    <t>978-3-16-148421</t>
  </si>
  <si>
    <t>C-244</t>
  </si>
  <si>
    <t>Python Programming</t>
  </si>
  <si>
    <t>Mark Lutz</t>
  </si>
  <si>
    <t>978-3-16-148422</t>
  </si>
  <si>
    <t>C-191</t>
  </si>
  <si>
    <t>Java Programming</t>
  </si>
  <si>
    <t>Herbert Schildt</t>
  </si>
  <si>
    <t>978-3-16-148423</t>
  </si>
  <si>
    <t>B-445</t>
  </si>
  <si>
    <t>Project Management</t>
  </si>
  <si>
    <t>Dennis Ritchie</t>
  </si>
  <si>
    <t>978-3-16-148424</t>
  </si>
  <si>
    <t>E-216</t>
  </si>
  <si>
    <t>C++ Programming</t>
  </si>
  <si>
    <t>Bjarne Stroustrup</t>
  </si>
  <si>
    <t>978-3-16-148425</t>
  </si>
  <si>
    <t>A-495</t>
  </si>
  <si>
    <t>Web Development</t>
  </si>
  <si>
    <t>Jon Duckett</t>
  </si>
  <si>
    <t>978-3-16-148426</t>
  </si>
  <si>
    <t>E-228</t>
  </si>
  <si>
    <t>Mobile App Development</t>
  </si>
  <si>
    <t>Paul Deitel</t>
  </si>
  <si>
    <t>978-3-16-148427</t>
  </si>
  <si>
    <t>B-221</t>
  </si>
  <si>
    <t>Cloud Computing</t>
  </si>
  <si>
    <t>Rajkumar Buyya</t>
  </si>
  <si>
    <t>978-3-16-148428</t>
  </si>
  <si>
    <t>A-338</t>
  </si>
  <si>
    <t>Cyber Security</t>
  </si>
  <si>
    <t>William Stallings</t>
  </si>
  <si>
    <t>978-3-16-148429</t>
  </si>
  <si>
    <t>B-195</t>
  </si>
  <si>
    <t>Worn</t>
  </si>
  <si>
    <t>Ethical Hacking</t>
  </si>
  <si>
    <t>Kevin Mitnick</t>
  </si>
  <si>
    <t>978-3-16-148430</t>
  </si>
  <si>
    <t>A-336</t>
  </si>
  <si>
    <t>Internet of Things</t>
  </si>
  <si>
    <t>Albert-Laszlo Barabasi</t>
  </si>
  <si>
    <t>978-3-16-148431</t>
  </si>
  <si>
    <t>E-484</t>
  </si>
  <si>
    <t>Big Data Analytics</t>
  </si>
  <si>
    <t>Vijay Madisetti</t>
  </si>
  <si>
    <t>978-3-16-148432</t>
  </si>
  <si>
    <t>E-291</t>
  </si>
  <si>
    <t>Blockchain Technology</t>
  </si>
  <si>
    <t>Don Tapscott</t>
  </si>
  <si>
    <t>978-3-16-148433</t>
  </si>
  <si>
    <t>E-377</t>
  </si>
  <si>
    <t>Digital Electronics</t>
  </si>
  <si>
    <t>Floyd Digital</t>
  </si>
  <si>
    <t>978-3-16-148434</t>
  </si>
  <si>
    <t>E-346</t>
  </si>
  <si>
    <t>Microprocessors</t>
  </si>
  <si>
    <t>Douglas Hall</t>
  </si>
  <si>
    <t>978-3-16-148435</t>
  </si>
  <si>
    <t>C-175</t>
  </si>
  <si>
    <t>Embedded Systems</t>
  </si>
  <si>
    <t>Ramesh Gaonkar</t>
  </si>
  <si>
    <t>978-3-16-148436</t>
  </si>
  <si>
    <t>B-243</t>
  </si>
  <si>
    <t>Discrete Mathematics</t>
  </si>
  <si>
    <t>Muhammad Ali Mazidi</t>
  </si>
  <si>
    <t>Mathematics</t>
  </si>
  <si>
    <t>978-3-16-148437</t>
  </si>
  <si>
    <t>C-185</t>
  </si>
  <si>
    <t>Engineering Mathematics I</t>
  </si>
  <si>
    <t>Kenneth Rosen</t>
  </si>
  <si>
    <t>978-3-16-148438</t>
  </si>
  <si>
    <t>A-384</t>
  </si>
  <si>
    <t>Engineering Mathematics II</t>
  </si>
  <si>
    <t>Erwin Kreyszig</t>
  </si>
  <si>
    <t>978-3-16-148439</t>
  </si>
  <si>
    <t>D-168</t>
  </si>
  <si>
    <t>Linear Algebra</t>
  </si>
  <si>
    <t>B. S. Grewal</t>
  </si>
  <si>
    <t>978-3-16-148440</t>
  </si>
  <si>
    <t>A-193</t>
  </si>
  <si>
    <t>Probability and Statistics</t>
  </si>
  <si>
    <t>Gilbert Strang</t>
  </si>
  <si>
    <t>978-3-16-148441</t>
  </si>
  <si>
    <t>D-303</t>
  </si>
  <si>
    <t>Numerical Methods</t>
  </si>
  <si>
    <t>Sheldon Ross</t>
  </si>
  <si>
    <t>978-3-16-148442</t>
  </si>
  <si>
    <t>B-440</t>
  </si>
  <si>
    <t>Operations Research</t>
  </si>
  <si>
    <t>Steven Chapra</t>
  </si>
  <si>
    <t>978-3-16-148443</t>
  </si>
  <si>
    <t>D-388</t>
  </si>
  <si>
    <t>Graph Theory</t>
  </si>
  <si>
    <t>Hamdy Taha</t>
  </si>
  <si>
    <t>978-3-16-148444</t>
  </si>
  <si>
    <t>E-122</t>
  </si>
  <si>
    <t>Calculus</t>
  </si>
  <si>
    <t>Douglas West</t>
  </si>
  <si>
    <t>978-3-16-148445</t>
  </si>
  <si>
    <t>B-109</t>
  </si>
  <si>
    <t>Differential Equations</t>
  </si>
  <si>
    <t>Thomas Finney</t>
  </si>
  <si>
    <t>978-3-16-148446</t>
  </si>
  <si>
    <t>E-199</t>
  </si>
  <si>
    <t>Applied Mathematics</t>
  </si>
  <si>
    <t>Dennis Zill</t>
  </si>
  <si>
    <t>978-3-16-148447</t>
  </si>
  <si>
    <t>B-279</t>
  </si>
  <si>
    <t>Physics I</t>
  </si>
  <si>
    <t>Peter Olver</t>
  </si>
  <si>
    <t>Physics</t>
  </si>
  <si>
    <t>978-3-16-148448</t>
  </si>
  <si>
    <t>B-349</t>
  </si>
  <si>
    <t>Physics II</t>
  </si>
  <si>
    <t>David Halliday</t>
  </si>
  <si>
    <t>978-3-16-148449</t>
  </si>
  <si>
    <t>C-195</t>
  </si>
  <si>
    <t>Quantum Mechanics</t>
  </si>
  <si>
    <t>Robert Resnick</t>
  </si>
  <si>
    <t>978-3-16-148450</t>
  </si>
  <si>
    <t>A-424</t>
  </si>
  <si>
    <t>Classical Mechanics</t>
  </si>
  <si>
    <t>David Griffiths</t>
  </si>
  <si>
    <t>978-3-16-148451</t>
  </si>
  <si>
    <t>E-103</t>
  </si>
  <si>
    <t>Electronics Fundamentals</t>
  </si>
  <si>
    <t>Herbert Goldstein</t>
  </si>
  <si>
    <t>978-3-16-148452</t>
  </si>
  <si>
    <t>B-483</t>
  </si>
  <si>
    <t>Electrical Circuits</t>
  </si>
  <si>
    <t>Boylestad Nashelsky</t>
  </si>
  <si>
    <t>978-3-16-148453</t>
  </si>
  <si>
    <t>C-439</t>
  </si>
  <si>
    <t>Control Systems</t>
  </si>
  <si>
    <t>Charles Alexander</t>
  </si>
  <si>
    <t>978-3-16-148454</t>
  </si>
  <si>
    <t>D-277</t>
  </si>
  <si>
    <t>Signals and Systems</t>
  </si>
  <si>
    <t>Norman Nise</t>
  </si>
  <si>
    <t>978-3-16-148455</t>
  </si>
  <si>
    <t>C-479</t>
  </si>
  <si>
    <t>Communication Systems</t>
  </si>
  <si>
    <t>Alan Oppenheim</t>
  </si>
  <si>
    <t>978-3-16-148456</t>
  </si>
  <si>
    <t>A-278</t>
  </si>
  <si>
    <t>Electromagnetic Theory</t>
  </si>
  <si>
    <t>Simon Haykin</t>
  </si>
  <si>
    <t>978-3-16-148457</t>
  </si>
  <si>
    <t>C-200</t>
  </si>
  <si>
    <t>Solid State Physics</t>
  </si>
  <si>
    <t>William Tomasi</t>
  </si>
  <si>
    <t>978-3-16-148458</t>
  </si>
  <si>
    <t>D-422</t>
  </si>
  <si>
    <t>Optics</t>
  </si>
  <si>
    <t>Matthew Sadiku</t>
  </si>
  <si>
    <t>978-3-16-148459</t>
  </si>
  <si>
    <t>A-267</t>
  </si>
  <si>
    <t>Chemistry I</t>
  </si>
  <si>
    <t>Charles Kittel</t>
  </si>
  <si>
    <t>Chemistry</t>
  </si>
  <si>
    <t>978-3-16-148460</t>
  </si>
  <si>
    <t>B-142</t>
  </si>
  <si>
    <t>Chemistry II</t>
  </si>
  <si>
    <t>Eugene Hecht</t>
  </si>
  <si>
    <t>978-3-16-148461</t>
  </si>
  <si>
    <t>D-384</t>
  </si>
  <si>
    <t>Organic Chemistry</t>
  </si>
  <si>
    <t>Raymond Chang</t>
  </si>
  <si>
    <t>978-3-16-148462</t>
  </si>
  <si>
    <t>E-111</t>
  </si>
  <si>
    <t>Inorganic Chemistry</t>
  </si>
  <si>
    <t>Paula Bruice</t>
  </si>
  <si>
    <t>978-3-16-148463</t>
  </si>
  <si>
    <t>B-352</t>
  </si>
  <si>
    <t>Physical Chemistry</t>
  </si>
  <si>
    <t>Morrison Boyd</t>
  </si>
  <si>
    <t>978-3-16-148464</t>
  </si>
  <si>
    <t>C-341</t>
  </si>
  <si>
    <t>Environmental Chemistry</t>
  </si>
  <si>
    <t>Peter Atkins</t>
  </si>
  <si>
    <t>978-3-16-148465</t>
  </si>
  <si>
    <t>C-314</t>
  </si>
  <si>
    <t>Biochemistry</t>
  </si>
  <si>
    <t>Donald McQuarrie</t>
  </si>
  <si>
    <t>978-3-16-148466</t>
  </si>
  <si>
    <t>A-189</t>
  </si>
  <si>
    <t>Industrial Chemistry</t>
  </si>
  <si>
    <t>A. K. De</t>
  </si>
  <si>
    <t>978-3-16-148467</t>
  </si>
  <si>
    <t>E-189</t>
  </si>
  <si>
    <t>Polymer Chemistry</t>
  </si>
  <si>
    <t>Jeremy Ramsden</t>
  </si>
  <si>
    <t>978-3-16-148468</t>
  </si>
  <si>
    <t>B-214</t>
  </si>
  <si>
    <t>Green Chemistry</t>
  </si>
  <si>
    <t>George Odian</t>
  </si>
  <si>
    <t>978-3-16-148469</t>
  </si>
  <si>
    <t>A-490</t>
  </si>
  <si>
    <t>Biology</t>
  </si>
  <si>
    <t>John Warner</t>
  </si>
  <si>
    <t>978-3-16-148470</t>
  </si>
  <si>
    <t>D-413</t>
  </si>
  <si>
    <t>Cell Biology</t>
  </si>
  <si>
    <t>Campbell Reece</t>
  </si>
  <si>
    <t>978-3-16-148471</t>
  </si>
  <si>
    <t>E-213</t>
  </si>
  <si>
    <t>Molecular Biology</t>
  </si>
  <si>
    <t>Bruce Alberts</t>
  </si>
  <si>
    <t>978-3-16-148472</t>
  </si>
  <si>
    <t>E-174</t>
  </si>
  <si>
    <t>Genetics</t>
  </si>
  <si>
    <t>James Watson</t>
  </si>
  <si>
    <t>978-3-16-148473</t>
  </si>
  <si>
    <t>E-475</t>
  </si>
  <si>
    <t>Biotechnology</t>
  </si>
  <si>
    <t>Benjamin Lewin</t>
  </si>
  <si>
    <t>978-3-16-148474</t>
  </si>
  <si>
    <t>D-316</t>
  </si>
  <si>
    <t>Microbiology</t>
  </si>
  <si>
    <t>K. S. Verma</t>
  </si>
  <si>
    <t>978-3-16-148475</t>
  </si>
  <si>
    <t>E-348</t>
  </si>
  <si>
    <t>Human Anatomy</t>
  </si>
  <si>
    <t>William Thieman</t>
  </si>
  <si>
    <t>978-3-16-148476</t>
  </si>
  <si>
    <t>D-493</t>
  </si>
  <si>
    <t>Physiology</t>
  </si>
  <si>
    <t>Gerald Tortora</t>
  </si>
  <si>
    <t>978-3-16-148477</t>
  </si>
  <si>
    <t>Zoology</t>
  </si>
  <si>
    <t>Guyton Hall</t>
  </si>
  <si>
    <t>978-3-16-148478</t>
  </si>
  <si>
    <t>C-276</t>
  </si>
  <si>
    <t>Botany</t>
  </si>
  <si>
    <t>Jordan H. Young</t>
  </si>
  <si>
    <t>978-3-16-148479</t>
  </si>
  <si>
    <t>C-135</t>
  </si>
  <si>
    <t>Environmental Science</t>
  </si>
  <si>
    <t>V. K. Agarwal</t>
  </si>
  <si>
    <t>978-3-16-148480</t>
  </si>
  <si>
    <t>Ecology</t>
  </si>
  <si>
    <t>Odum Barrett</t>
  </si>
  <si>
    <t>978-3-16-148481</t>
  </si>
  <si>
    <t>E-367</t>
  </si>
  <si>
    <t>Earth Science</t>
  </si>
  <si>
    <t>Ernst G. Berthold</t>
  </si>
  <si>
    <t>978-3-16-148482</t>
  </si>
  <si>
    <t>A-282</t>
  </si>
  <si>
    <t>Geography</t>
  </si>
  <si>
    <t>Arthur Strahler</t>
  </si>
  <si>
    <t>978-3-16-148483</t>
  </si>
  <si>
    <t>E-378</t>
  </si>
  <si>
    <t>Geology</t>
  </si>
  <si>
    <t>Alan Trenhaile</t>
  </si>
  <si>
    <t>978-3-16-148484</t>
  </si>
  <si>
    <t>A-454</t>
  </si>
  <si>
    <t>Climatology</t>
  </si>
  <si>
    <t>Brian Fagan</t>
  </si>
  <si>
    <t>978-3-16-148485</t>
  </si>
  <si>
    <t>A-385</t>
  </si>
  <si>
    <t>Oceanography</t>
  </si>
  <si>
    <t>John Oliver</t>
  </si>
  <si>
    <t>978-3-16-148486</t>
  </si>
  <si>
    <t>A-468</t>
  </si>
  <si>
    <t>Disaster Management</t>
  </si>
  <si>
    <t>Michael Glantz</t>
  </si>
  <si>
    <t>978-3-16-148487</t>
  </si>
  <si>
    <t>D-467</t>
  </si>
  <si>
    <t>Sustainable Development</t>
  </si>
  <si>
    <t>Charles Redman</t>
  </si>
  <si>
    <t>978-3-16-148488</t>
  </si>
  <si>
    <t>A-441</t>
  </si>
  <si>
    <t>Renewable Energy</t>
  </si>
  <si>
    <t>Nicholas Stern</t>
  </si>
  <si>
    <t>978-3-16-148489</t>
  </si>
  <si>
    <t>E-286</t>
  </si>
  <si>
    <t>Engineering Drawing</t>
  </si>
  <si>
    <t>K. L. Kumar</t>
  </si>
  <si>
    <t>Engineering</t>
  </si>
  <si>
    <t>978-3-16-148490</t>
  </si>
  <si>
    <t>Engineering Mechanics</t>
  </si>
  <si>
    <t>David Goetsch</t>
  </si>
  <si>
    <t>978-3-16-148491</t>
  </si>
  <si>
    <t>D-495</t>
  </si>
  <si>
    <t>Strength of Materials</t>
  </si>
  <si>
    <t>Hibbeler</t>
  </si>
  <si>
    <t>978-3-16-148492</t>
  </si>
  <si>
    <t>E-332</t>
  </si>
  <si>
    <t>Fluid Mechanics</t>
  </si>
  <si>
    <t>Bansal</t>
  </si>
  <si>
    <t>978-3-16-148493</t>
  </si>
  <si>
    <t>Thermodynamics</t>
  </si>
  <si>
    <t>Fox McDonald</t>
  </si>
  <si>
    <t>978-3-16-148494</t>
  </si>
  <si>
    <t>A-383</t>
  </si>
  <si>
    <t>Heat Transfer</t>
  </si>
  <si>
    <t>Yunus Cengel</t>
  </si>
  <si>
    <t>978-3-16-148495</t>
  </si>
  <si>
    <t>D-438</t>
  </si>
  <si>
    <t>Manufacturing Processes</t>
  </si>
  <si>
    <t>Incropera Dewitt</t>
  </si>
  <si>
    <t>978-3-16-148496</t>
  </si>
  <si>
    <t>B-466</t>
  </si>
  <si>
    <t>Machine Design</t>
  </si>
  <si>
    <t>Kalpakjian Schmid</t>
  </si>
  <si>
    <t>978-3-16-148497</t>
  </si>
  <si>
    <t>E-168</t>
  </si>
  <si>
    <t>Robotics</t>
  </si>
  <si>
    <t>Shigley Mischke</t>
  </si>
  <si>
    <t>978-3-16-148498</t>
  </si>
  <si>
    <t>C-495</t>
  </si>
  <si>
    <t>Mechatronics</t>
  </si>
  <si>
    <t>Craig</t>
  </si>
  <si>
    <t>978-3-16-148499</t>
  </si>
  <si>
    <t>A-478</t>
  </si>
  <si>
    <t>Automobile Engineering</t>
  </si>
  <si>
    <t>Bolton</t>
  </si>
  <si>
    <t>978-3-16-148500</t>
  </si>
  <si>
    <t>E-152</t>
  </si>
  <si>
    <t>Aeronautical Engineering</t>
  </si>
  <si>
    <t>Kirpal Singh</t>
  </si>
  <si>
    <t>978-3-16-148501</t>
  </si>
  <si>
    <t>A-138</t>
  </si>
  <si>
    <t>Civil Engineering Materials</t>
  </si>
  <si>
    <t>Anderson</t>
  </si>
  <si>
    <t>978-3-16-148502</t>
  </si>
  <si>
    <t>E-280</t>
  </si>
  <si>
    <t>Structural Analysis</t>
  </si>
  <si>
    <t>Kreith</t>
  </si>
  <si>
    <t>978-3-16-148503</t>
  </si>
  <si>
    <t>B-285</t>
  </si>
  <si>
    <t>Geotechnical Engineering</t>
  </si>
  <si>
    <t>Gibson</t>
  </si>
  <si>
    <t>978-3-16-148504</t>
  </si>
  <si>
    <t>B-232</t>
  </si>
  <si>
    <t>Transportation Engineering</t>
  </si>
  <si>
    <t>978-3-16-148505</t>
  </si>
  <si>
    <t>Environmental Engineering</t>
  </si>
  <si>
    <t>V. B. Raju</t>
  </si>
  <si>
    <t>978-3-16-148506</t>
  </si>
  <si>
    <t>E-334</t>
  </si>
  <si>
    <t>Construction Planning</t>
  </si>
  <si>
    <t>Kadiyali</t>
  </si>
  <si>
    <t>978-3-16-148507</t>
  </si>
  <si>
    <t>C-245</t>
  </si>
  <si>
    <t>Surveying</t>
  </si>
  <si>
    <t>Raghuwanshi</t>
  </si>
  <si>
    <t>978-3-16-148508</t>
  </si>
  <si>
    <t>D-108</t>
  </si>
  <si>
    <t>Remote Sensing</t>
  </si>
  <si>
    <t>Arora Bindra</t>
  </si>
  <si>
    <t>978-3-16-148509</t>
  </si>
  <si>
    <t>Economics</t>
  </si>
  <si>
    <t>Thomas</t>
  </si>
  <si>
    <t>978-3-16-148510</t>
  </si>
  <si>
    <t>E-267</t>
  </si>
  <si>
    <t>Microeconomics</t>
  </si>
  <si>
    <t>Strayer</t>
  </si>
  <si>
    <t>978-3-16-148511</t>
  </si>
  <si>
    <t>B-492</t>
  </si>
  <si>
    <t>Macroeconomics</t>
  </si>
  <si>
    <t>Mann</t>
  </si>
  <si>
    <t>978-3-16-148512</t>
  </si>
  <si>
    <t>B-382</t>
  </si>
  <si>
    <t>Business Economics</t>
  </si>
  <si>
    <t>Paul Samuelson</t>
  </si>
  <si>
    <t>978-3-16-148513</t>
  </si>
  <si>
    <t>B-293</t>
  </si>
  <si>
    <t>Managerial Economics</t>
  </si>
  <si>
    <t>N. Gregory Mankiw</t>
  </si>
  <si>
    <t>978-3-16-148514</t>
  </si>
  <si>
    <t>E-128</t>
  </si>
  <si>
    <t>Business Studies</t>
  </si>
  <si>
    <t>Rudiger Dornbusch</t>
  </si>
  <si>
    <t>Business &amp; Management</t>
  </si>
  <si>
    <t>978-3-16-148515</t>
  </si>
  <si>
    <t>E-438</t>
  </si>
  <si>
    <t>Principles of Management</t>
  </si>
  <si>
    <t>Mishra Puri</t>
  </si>
  <si>
    <t>978-3-16-148516</t>
  </si>
  <si>
    <t>E-420</t>
  </si>
  <si>
    <t>Human Resource Management</t>
  </si>
  <si>
    <t>H. L. Ahuja</t>
  </si>
  <si>
    <t>978-3-16-148517</t>
  </si>
  <si>
    <t>D-244</t>
  </si>
  <si>
    <t>Financial Management</t>
  </si>
  <si>
    <t>P. C. Tulsian</t>
  </si>
  <si>
    <t>978-3-16-148518</t>
  </si>
  <si>
    <t>A-400</t>
  </si>
  <si>
    <t>Marketing Management</t>
  </si>
  <si>
    <t>Jawaharlal</t>
  </si>
  <si>
    <t>978-3-16-148519</t>
  </si>
  <si>
    <t>D-391</t>
  </si>
  <si>
    <t>Accounting Principles</t>
  </si>
  <si>
    <t>Ravinder Kumar</t>
  </si>
  <si>
    <t>978-3-16-148520</t>
  </si>
  <si>
    <t>D-374</t>
  </si>
  <si>
    <t>Cost Accounting</t>
  </si>
  <si>
    <t>Kapil Gupta</t>
  </si>
  <si>
    <t>978-3-16-148521</t>
  </si>
  <si>
    <t>E-463</t>
  </si>
  <si>
    <t>Corporate Accounting</t>
  </si>
  <si>
    <t>K. C. Garg</t>
  </si>
  <si>
    <t>978-3-16-148522</t>
  </si>
  <si>
    <t>C-301</t>
  </si>
  <si>
    <t>Auditing</t>
  </si>
  <si>
    <t>M. C. Kuchhal</t>
  </si>
  <si>
    <t>978-3-16-148523</t>
  </si>
  <si>
    <t>B-118</t>
  </si>
  <si>
    <t>Taxation</t>
  </si>
  <si>
    <t>C. L. Bansal</t>
  </si>
  <si>
    <t>978-3-16-148524</t>
  </si>
  <si>
    <t>C-272</t>
  </si>
  <si>
    <t>Business Law</t>
  </si>
  <si>
    <t>S. K. Aggarwal</t>
  </si>
  <si>
    <t>978-3-16-148525</t>
  </si>
  <si>
    <t>E-341</t>
  </si>
  <si>
    <t>Company Law</t>
  </si>
  <si>
    <t>Philip Kotler</t>
  </si>
  <si>
    <t>978-3-16-148526</t>
  </si>
  <si>
    <t>D-225</t>
  </si>
  <si>
    <t>Banking and Insurance</t>
  </si>
  <si>
    <t>Koontz Weihrich</t>
  </si>
  <si>
    <t>978-3-16-148527</t>
  </si>
  <si>
    <t>B-247</t>
  </si>
  <si>
    <t>Entrepreneurship Development</t>
  </si>
  <si>
    <t>978-3-16-148528</t>
  </si>
  <si>
    <t>D-416</t>
  </si>
  <si>
    <t>International Business</t>
  </si>
  <si>
    <t>Prasanna Chandra</t>
  </si>
  <si>
    <t>978-3-16-148529</t>
  </si>
  <si>
    <t>A-100</t>
  </si>
  <si>
    <t>Statistics for Business</t>
  </si>
  <si>
    <t>V. S. Ramaswamy</t>
  </si>
  <si>
    <t>978-3-16-148530</t>
  </si>
  <si>
    <t>C-447</t>
  </si>
  <si>
    <t>Operations Management</t>
  </si>
  <si>
    <t>Charles Horngren</t>
  </si>
  <si>
    <t>978-3-16-148531</t>
  </si>
  <si>
    <t>A-290</t>
  </si>
  <si>
    <t>Supply Chain Management</t>
  </si>
  <si>
    <t>Jawaharlal Nehru</t>
  </si>
  <si>
    <t>978-3-16-148532</t>
  </si>
  <si>
    <t>D-468</t>
  </si>
  <si>
    <t>Maheshwari</t>
  </si>
  <si>
    <t>978-3-16-148533</t>
  </si>
  <si>
    <t>A-411</t>
  </si>
  <si>
    <t>Strategic Management</t>
  </si>
  <si>
    <t>S. P. Jain</t>
  </si>
  <si>
    <t>978-3-16-148534</t>
  </si>
  <si>
    <t>A-216</t>
  </si>
  <si>
    <t>Organizational Behavior</t>
  </si>
  <si>
    <t>Drury</t>
  </si>
  <si>
    <t>Commerce</t>
  </si>
  <si>
    <t>978-3-16-148535</t>
  </si>
  <si>
    <t>B-143</t>
  </si>
  <si>
    <t>E-Commerce</t>
  </si>
  <si>
    <t>Singhania</t>
  </si>
  <si>
    <t>978-3-16-148536</t>
  </si>
  <si>
    <t>E-259</t>
  </si>
  <si>
    <t>Digital Marketing</t>
  </si>
  <si>
    <t>B. M. Lall</t>
  </si>
  <si>
    <t>978-3-16-148537</t>
  </si>
  <si>
    <t>E-416</t>
  </si>
  <si>
    <t>Business Analytics</t>
  </si>
  <si>
    <t>Avtar Singh</t>
  </si>
  <si>
    <t>978-3-16-148538</t>
  </si>
  <si>
    <t>E-179</t>
  </si>
  <si>
    <t>Investment Analysis</t>
  </si>
  <si>
    <t>Ramaiya</t>
  </si>
  <si>
    <t>978-3-16-148539</t>
  </si>
  <si>
    <t>E-302</t>
  </si>
  <si>
    <t>English Grammar</t>
  </si>
  <si>
    <t>K. V. Kamath</t>
  </si>
  <si>
    <t>978-3-16-148540</t>
  </si>
  <si>
    <t>D-328</t>
  </si>
  <si>
    <t>English Literature</t>
  </si>
  <si>
    <t>Vasant Desai</t>
  </si>
  <si>
    <t>978-3-16-148541</t>
  </si>
  <si>
    <t>D-326</t>
  </si>
  <si>
    <t>Technical English</t>
  </si>
  <si>
    <t>Charles Hill</t>
  </si>
  <si>
    <t>978-3-16-148542</t>
  </si>
  <si>
    <t>C-119</t>
  </si>
  <si>
    <t>Communication Skills</t>
  </si>
  <si>
    <t>J. K. Galbraith</t>
  </si>
  <si>
    <t>978-3-16-148543</t>
  </si>
  <si>
    <t>A-146</t>
  </si>
  <si>
    <t>Professional Writing</t>
  </si>
  <si>
    <t>Stevenson</t>
  </si>
  <si>
    <t>978-3-16-148544</t>
  </si>
  <si>
    <t>A-404</t>
  </si>
  <si>
    <t>Creative Writing</t>
  </si>
  <si>
    <t>Heizer Render</t>
  </si>
  <si>
    <t>Arts &amp; Literature</t>
  </si>
  <si>
    <t>978-3-16-148545</t>
  </si>
  <si>
    <t>A-472</t>
  </si>
  <si>
    <t>Indian Literature</t>
  </si>
  <si>
    <t>Jacobs Chase</t>
  </si>
  <si>
    <t>978-3-16-148546</t>
  </si>
  <si>
    <t>C-243</t>
  </si>
  <si>
    <t>World Literature</t>
  </si>
  <si>
    <t>Kerzner</t>
  </si>
  <si>
    <t>978-3-16-148547</t>
  </si>
  <si>
    <t>A-111</t>
  </si>
  <si>
    <t>Poetry Analysis</t>
  </si>
  <si>
    <t>Fred David</t>
  </si>
  <si>
    <t>978-3-16-148548</t>
  </si>
  <si>
    <t>B-323</t>
  </si>
  <si>
    <t>Drama Studies</t>
  </si>
  <si>
    <t>Stephen Robbins</t>
  </si>
  <si>
    <t>978-3-16-148549</t>
  </si>
  <si>
    <t>D-255</t>
  </si>
  <si>
    <t>History of India</t>
  </si>
  <si>
    <t>Laudon Traver</t>
  </si>
  <si>
    <t>978-3-16-148550</t>
  </si>
  <si>
    <t>E-107</t>
  </si>
  <si>
    <t>World History</t>
  </si>
  <si>
    <t>Ryan Deiss</t>
  </si>
  <si>
    <t>978-3-16-148551</t>
  </si>
  <si>
    <t>B-447</t>
  </si>
  <si>
    <t>Ancient Civilizations</t>
  </si>
  <si>
    <t>Albright Winston</t>
  </si>
  <si>
    <t>978-3-16-148552</t>
  </si>
  <si>
    <t>D-189</t>
  </si>
  <si>
    <t>Medieval History</t>
  </si>
  <si>
    <t>Graham Dodd</t>
  </si>
  <si>
    <t>978-3-16-148553</t>
  </si>
  <si>
    <t>B-415</t>
  </si>
  <si>
    <t>Modern History</t>
  </si>
  <si>
    <t>Wren Martin</t>
  </si>
  <si>
    <t>978-3-16-148554</t>
  </si>
  <si>
    <t>B-127</t>
  </si>
  <si>
    <t>Political Science</t>
  </si>
  <si>
    <t>M. H. Abrams</t>
  </si>
  <si>
    <t>History</t>
  </si>
  <si>
    <t>978-3-16-148555</t>
  </si>
  <si>
    <t>D-456</t>
  </si>
  <si>
    <t>Indian Constitution</t>
  </si>
  <si>
    <t>Leslie Stephen</t>
  </si>
  <si>
    <t>978-3-16-148556</t>
  </si>
  <si>
    <t>A-327</t>
  </si>
  <si>
    <t>Public Administration</t>
  </si>
  <si>
    <t>Michael Swan</t>
  </si>
  <si>
    <t>978-3-16-148557</t>
  </si>
  <si>
    <t>International Relations</t>
  </si>
  <si>
    <t>Alison Ross</t>
  </si>
  <si>
    <t>978-3-16-148558</t>
  </si>
  <si>
    <t>A-311</t>
  </si>
  <si>
    <t>Sociology</t>
  </si>
  <si>
    <t>R. K. Narayan</t>
  </si>
  <si>
    <t>978-3-16-148559</t>
  </si>
  <si>
    <t>E-319</t>
  </si>
  <si>
    <t>Social Psychology</t>
  </si>
  <si>
    <t>Harold Bloom</t>
  </si>
  <si>
    <t>978-3-16-148560</t>
  </si>
  <si>
    <t>E-496</t>
  </si>
  <si>
    <t>Philosophy</t>
  </si>
  <si>
    <t>Cleanth Brooks</t>
  </si>
  <si>
    <t>978-3-16-148561</t>
  </si>
  <si>
    <t>C-352</t>
  </si>
  <si>
    <t>Logic and Reasoning</t>
  </si>
  <si>
    <t>Francis Ferguson</t>
  </si>
  <si>
    <t>978-3-16-148562</t>
  </si>
  <si>
    <t>B-470</t>
  </si>
  <si>
    <t>Ethics and Values</t>
  </si>
  <si>
    <t>Bipin Chandra</t>
  </si>
  <si>
    <t>978-3-16-148563</t>
  </si>
  <si>
    <t>E-402</t>
  </si>
  <si>
    <t>Education Psychology</t>
  </si>
  <si>
    <t>Norman Davies</t>
  </si>
  <si>
    <t>978-3-16-148564</t>
  </si>
  <si>
    <t>A-109</t>
  </si>
  <si>
    <t>Teaching Methodologies</t>
  </si>
  <si>
    <t>Jacques Gernet</t>
  </si>
  <si>
    <t>978-3-16-148565</t>
  </si>
  <si>
    <t>B-350</t>
  </si>
  <si>
    <t>Pedagogy Studies</t>
  </si>
  <si>
    <t>Satish Chandra</t>
  </si>
  <si>
    <t>978-3-16-148566</t>
  </si>
  <si>
    <t>E-104</t>
  </si>
  <si>
    <t>Curriculum Design</t>
  </si>
  <si>
    <t>B. L. Grover</t>
  </si>
  <si>
    <t>978-3-16-148567</t>
  </si>
  <si>
    <t>A-473</t>
  </si>
  <si>
    <t>Educational Technology</t>
  </si>
  <si>
    <t>Andrew Heywood</t>
  </si>
  <si>
    <t>978-3-16-148568</t>
  </si>
  <si>
    <t>A-245</t>
  </si>
  <si>
    <t>Guidance and Counseling</t>
  </si>
  <si>
    <t>M. Laxmikanth</t>
  </si>
  <si>
    <t>978-3-16-148569</t>
  </si>
  <si>
    <t>A-366</t>
  </si>
  <si>
    <t>Law of Contracts</t>
  </si>
  <si>
    <t>Prasad Sharma</t>
  </si>
  <si>
    <t>Education</t>
  </si>
  <si>
    <t>978-3-16-148570</t>
  </si>
  <si>
    <t>E-381</t>
  </si>
  <si>
    <t>Criminal Law</t>
  </si>
  <si>
    <t>Joshua Goldstein</t>
  </si>
  <si>
    <t>978-3-16-148571</t>
  </si>
  <si>
    <t>Constitutional Law</t>
  </si>
  <si>
    <t>Anthony Giddens</t>
  </si>
  <si>
    <t>978-3-16-148572</t>
  </si>
  <si>
    <t>C-382</t>
  </si>
  <si>
    <t>Civil Law</t>
  </si>
  <si>
    <t>David Myers</t>
  </si>
  <si>
    <t>978-3-16-148573</t>
  </si>
  <si>
    <t>A-197</t>
  </si>
  <si>
    <t>Intellectual Property Rights</t>
  </si>
  <si>
    <t>Bertrand Russell</t>
  </si>
  <si>
    <t>978-3-16-148574</t>
  </si>
  <si>
    <t>A-198</t>
  </si>
  <si>
    <t>Cyber Law</t>
  </si>
  <si>
    <t>Irving Copi</t>
  </si>
  <si>
    <t>Law</t>
  </si>
  <si>
    <t>978-3-16-148575</t>
  </si>
  <si>
    <t>A-410</t>
  </si>
  <si>
    <t>Human Rights</t>
  </si>
  <si>
    <t>Alasdair MacIntyre</t>
  </si>
  <si>
    <t>978-3-16-148576</t>
  </si>
  <si>
    <t>D-296</t>
  </si>
  <si>
    <t>Environmental Law</t>
  </si>
  <si>
    <t>Anita Woolfolk</t>
  </si>
  <si>
    <t>978-3-16-148577</t>
  </si>
  <si>
    <t>E-457</t>
  </si>
  <si>
    <t>International Law</t>
  </si>
  <si>
    <t>V. K. Rao</t>
  </si>
  <si>
    <t>978-3-16-148578</t>
  </si>
  <si>
    <t>C-122</t>
  </si>
  <si>
    <t>Arbitration and Mediation</t>
  </si>
  <si>
    <t>Sharma Gupta</t>
  </si>
  <si>
    <t>978-3-16-148579</t>
  </si>
  <si>
    <t>General Knowledge</t>
  </si>
  <si>
    <t>Tyler</t>
  </si>
  <si>
    <t>978-3-16-148580</t>
  </si>
  <si>
    <t>E-301</t>
  </si>
  <si>
    <t>Current Affairs</t>
  </si>
  <si>
    <t>V. P. Singh</t>
  </si>
  <si>
    <t>978-3-16-148581</t>
  </si>
  <si>
    <t>B-182</t>
  </si>
  <si>
    <t>Competitive Exam Guide</t>
  </si>
  <si>
    <t>George Siemens</t>
  </si>
  <si>
    <t>978-3-16-148582</t>
  </si>
  <si>
    <t>A-184</t>
  </si>
  <si>
    <t>Aptitude Reasoning</t>
  </si>
  <si>
    <t>K. V. Rao</t>
  </si>
  <si>
    <t>978-3-16-148583</t>
  </si>
  <si>
    <t>A-465</t>
  </si>
  <si>
    <t>Quantitative Aptitude</t>
  </si>
  <si>
    <t>H. M. Saxena</t>
  </si>
  <si>
    <t>978-3-16-148584</t>
  </si>
  <si>
    <t>A-150</t>
  </si>
  <si>
    <t>Logical Reasoning</t>
  </si>
  <si>
    <t>General Studies</t>
  </si>
  <si>
    <t>978-3-16-148585</t>
  </si>
  <si>
    <t>E-304</t>
  </si>
  <si>
    <t>Verbal Ability</t>
  </si>
  <si>
    <t>Ratanlal Dhirajlal</t>
  </si>
  <si>
    <t>978-3-16-148586</t>
  </si>
  <si>
    <t>General Science</t>
  </si>
  <si>
    <t>P. S. A. Pillai</t>
  </si>
  <si>
    <t>978-3-16-148587</t>
  </si>
  <si>
    <t>Computer Awareness</t>
  </si>
  <si>
    <t>M. P. Jain</t>
  </si>
  <si>
    <t>978-3-16-148588</t>
  </si>
  <si>
    <t>Interview Skills</t>
  </si>
  <si>
    <t>Justice Verma</t>
  </si>
  <si>
    <t>978-3-16-148589</t>
  </si>
  <si>
    <t>B-217</t>
  </si>
  <si>
    <t>Personality Development</t>
  </si>
  <si>
    <t>Paul Sieghart</t>
  </si>
  <si>
    <t>978-3-16-148590</t>
  </si>
  <si>
    <t>C-478</t>
  </si>
  <si>
    <t>Leadership Skills</t>
  </si>
  <si>
    <t>Shyam Divan</t>
  </si>
  <si>
    <t>978-3-16-148591</t>
  </si>
  <si>
    <t>B-367</t>
  </si>
  <si>
    <t>Time Management</t>
  </si>
  <si>
    <t>Malcolm Shaw</t>
  </si>
  <si>
    <t>978-3-16-148592</t>
  </si>
  <si>
    <t>A-153</t>
  </si>
  <si>
    <t>Stress Management</t>
  </si>
  <si>
    <t>Gary Goodpaster</t>
  </si>
  <si>
    <t>978-3-16-148593</t>
  </si>
  <si>
    <t>D-488</t>
  </si>
  <si>
    <t>Emotional Intelligence</t>
  </si>
  <si>
    <t>Lucent Publications</t>
  </si>
  <si>
    <t>978-3-16-148594</t>
  </si>
  <si>
    <t>C-412</t>
  </si>
  <si>
    <t>Critical Thinking</t>
  </si>
  <si>
    <t>Arihant Experts</t>
  </si>
  <si>
    <t>Self Development</t>
  </si>
  <si>
    <t>978-3-16-148595</t>
  </si>
  <si>
    <t>A-211</t>
  </si>
  <si>
    <t>Problem Solving Skills</t>
  </si>
  <si>
    <t>Pearson Editorial</t>
  </si>
  <si>
    <t>978-3-16-148596</t>
  </si>
  <si>
    <t>E-440</t>
  </si>
  <si>
    <t>Decision Making</t>
  </si>
  <si>
    <t>R. S. Aggarwal</t>
  </si>
  <si>
    <t>978-3-16-148597</t>
  </si>
  <si>
    <t>B-174</t>
  </si>
  <si>
    <t>Innovation and Creativity</t>
  </si>
  <si>
    <t>Arun Sharma</t>
  </si>
  <si>
    <t>978-3-16-148598</t>
  </si>
  <si>
    <t>C-202</t>
  </si>
  <si>
    <t>Career Guidance</t>
  </si>
  <si>
    <t>Sarvesh Verma</t>
  </si>
  <si>
    <t>978-3-16-148599</t>
  </si>
  <si>
    <t>D-325</t>
  </si>
  <si>
    <t>Research Methodology</t>
  </si>
  <si>
    <t>Norman Lewis</t>
  </si>
  <si>
    <t>978-3-16-148600</t>
  </si>
  <si>
    <t>B-197</t>
  </si>
  <si>
    <t>Statistical Analysis Tools</t>
  </si>
  <si>
    <t>S. Chand Experts</t>
  </si>
  <si>
    <t>978-3-16-148601</t>
  </si>
  <si>
    <t>B-385</t>
  </si>
  <si>
    <t>SPSS Guide</t>
  </si>
  <si>
    <t>Edgar Dale</t>
  </si>
  <si>
    <t>978-3-16-148602</t>
  </si>
  <si>
    <t>C-407</t>
  </si>
  <si>
    <t>MATLAB Programming</t>
  </si>
  <si>
    <t>Dale Carnegie</t>
  </si>
  <si>
    <t>978-3-16-148603</t>
  </si>
  <si>
    <t>A-265</t>
  </si>
  <si>
    <t>R Programming</t>
  </si>
  <si>
    <t>Stephen Covey</t>
  </si>
  <si>
    <t>978-3-16-148604</t>
  </si>
  <si>
    <t>A-434</t>
  </si>
  <si>
    <t>Data Visualization</t>
  </si>
  <si>
    <t>Brian Tracy</t>
  </si>
  <si>
    <t>Research &amp; Analytics</t>
  </si>
  <si>
    <t>978-3-16-148605</t>
  </si>
  <si>
    <t>D-129</t>
  </si>
  <si>
    <t>Excel for Professionals</t>
  </si>
  <si>
    <t>David Allen</t>
  </si>
  <si>
    <t>978-3-16-148606</t>
  </si>
  <si>
    <t>B-150</t>
  </si>
  <si>
    <t>Advanced Excel Techniques</t>
  </si>
  <si>
    <t>Daniel Goleman</t>
  </si>
  <si>
    <t>978-3-16-148607</t>
  </si>
  <si>
    <t>A-232</t>
  </si>
  <si>
    <t>Power BI Essentials</t>
  </si>
  <si>
    <t>Edward de Bono</t>
  </si>
  <si>
    <t>978-3-16-148608</t>
  </si>
  <si>
    <t>E-487</t>
  </si>
  <si>
    <t>Q 1. How many books are there in total?</t>
  </si>
  <si>
    <t>Q 2. How many books belong to Computer Science category?</t>
  </si>
  <si>
    <t>Q 3. What is the average price of all books?</t>
  </si>
  <si>
    <t>Q 4. What is the maximum price of a book?</t>
  </si>
  <si>
    <t>Q 5. What is the minimum price of a book?</t>
  </si>
  <si>
    <t>Q 6. Total fine amount collected from all issued books?</t>
  </si>
  <si>
    <t>Q 7. Average fine amount for Computer Science books?</t>
  </si>
  <si>
    <t>Q 8. How many books were issued in February 2024?</t>
  </si>
  <si>
    <t>Q 9. Which books are overdue (Due_Date &lt; TODAY)?</t>
  </si>
  <si>
    <t>Q 10. Find the total available copies category-wise (using SUMIF)</t>
  </si>
  <si>
    <t>Q1. Display the price of the book "Machine Learning"</t>
  </si>
  <si>
    <t>Q 2. Find the Book_Title of the book whose Book_ID is 125</t>
  </si>
  <si>
    <t>Q 3. Find the row number of the book titled "Artificial Intelligence".</t>
  </si>
  <si>
    <t>Q 4. Find the Author of the book in row 120.</t>
  </si>
  <si>
    <t>Q 5. Find the Price of the book titled "Deep Learning".</t>
  </si>
  <si>
    <t>Q 1. Sort the book_title in ascending order</t>
  </si>
  <si>
    <t>Row Labels</t>
  </si>
  <si>
    <t>Grand Total</t>
  </si>
  <si>
    <t>Sum of Book_ID</t>
  </si>
  <si>
    <t>2024</t>
  </si>
  <si>
    <t>2025</t>
  </si>
  <si>
    <t>Sum of Issued_Copies</t>
  </si>
  <si>
    <t>Jan</t>
  </si>
  <si>
    <t>Feb</t>
  </si>
  <si>
    <t>Mar</t>
  </si>
  <si>
    <t>Apr</t>
  </si>
  <si>
    <t>May</t>
  </si>
  <si>
    <t>Jun</t>
  </si>
  <si>
    <t>Jul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</si>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</sst>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0" borderId="10" xfId="0" applyBorder="1"/>
    <xf numFmtId="0" fontId="0" fillId="35" borderId="10" xfId="0" applyFill="1" applyBorder="1"/>
    <xf numFmtId="14" fontId="0" fillId="0" borderId="10" xfId="0" applyNumberFormat="1" applyBorder="1"/>
    <xf numFmtId="0" fontId="0" fillId="44" borderId="10" xfId="0" applyFill="1" applyBorder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41" borderId="0" xfId="0" applyFill="1" applyAlignment="1">
      <alignment horizontal="center"/>
    </xf>
    <xf numFmtId="0" fontId="0" fillId="42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9" borderId="0" xfId="0" applyFill="1" applyAlignment="1">
      <alignment horizontal="center"/>
    </xf>
    <xf numFmtId="0" fontId="0" fillId="40" borderId="0" xfId="0" applyFill="1" applyAlignment="1">
      <alignment horizontal="center"/>
    </xf>
    <xf numFmtId="0" fontId="0" fillId="4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Project_Excel_Ankita  Dawn after com.xlsx]Pivot Chart!PivotTable6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Chart'!$A$2:$A$22</c:f>
              <c:strCache>
                <c:ptCount val="20"/>
                <c:pt idx="0">
                  <c:v>Arts &amp; Literature</c:v>
                </c:pt>
                <c:pt idx="1">
                  <c:v>Biology</c:v>
                </c:pt>
                <c:pt idx="2">
                  <c:v>Business &amp; Management</c:v>
                </c:pt>
                <c:pt idx="3">
                  <c:v>Chemistry</c:v>
                </c:pt>
                <c:pt idx="4">
                  <c:v>Commerce</c:v>
                </c:pt>
                <c:pt idx="5">
                  <c:v>Computer Science</c:v>
                </c:pt>
                <c:pt idx="6">
                  <c:v>Economics</c:v>
                </c:pt>
                <c:pt idx="7">
                  <c:v>Education</c:v>
                </c:pt>
                <c:pt idx="8">
                  <c:v>Engineering</c:v>
                </c:pt>
                <c:pt idx="9">
                  <c:v>Environmental Science</c:v>
                </c:pt>
                <c:pt idx="10">
                  <c:v>General Studies</c:v>
                </c:pt>
                <c:pt idx="11">
                  <c:v>History</c:v>
                </c:pt>
                <c:pt idx="12">
                  <c:v>Law</c:v>
                </c:pt>
                <c:pt idx="13">
                  <c:v>Mathematics</c:v>
                </c:pt>
                <c:pt idx="14">
                  <c:v>Philosophy</c:v>
                </c:pt>
                <c:pt idx="15">
                  <c:v>Physics</c:v>
                </c:pt>
                <c:pt idx="16">
                  <c:v>Political Science</c:v>
                </c:pt>
                <c:pt idx="17">
                  <c:v>Research &amp; Analytics</c:v>
                </c:pt>
                <c:pt idx="18">
                  <c:v>Self Development</c:v>
                </c:pt>
                <c:pt idx="19">
                  <c:v>Sociology</c:v>
                </c:pt>
              </c:strCache>
            </c:strRef>
          </c:cat>
          <c:val>
            <c:numRef>
              <c:f>'Pivot Chart'!$B$2:$B$22</c:f>
              <c:numCache>
                <c:formatCode>General</c:formatCode>
                <c:ptCount val="20"/>
                <c:pt idx="0">
                  <c:v>2405</c:v>
                </c:pt>
                <c:pt idx="1">
                  <c:v>1655</c:v>
                </c:pt>
                <c:pt idx="2">
                  <c:v>4310</c:v>
                </c:pt>
                <c:pt idx="3">
                  <c:v>1555</c:v>
                </c:pt>
                <c:pt idx="4">
                  <c:v>2305</c:v>
                </c:pt>
                <c:pt idx="5">
                  <c:v>3078</c:v>
                </c:pt>
                <c:pt idx="6">
                  <c:v>1015</c:v>
                </c:pt>
                <c:pt idx="7">
                  <c:v>1315</c:v>
                </c:pt>
                <c:pt idx="8">
                  <c:v>3810</c:v>
                </c:pt>
                <c:pt idx="9">
                  <c:v>1755</c:v>
                </c:pt>
                <c:pt idx="10">
                  <c:v>2805</c:v>
                </c:pt>
                <c:pt idx="11">
                  <c:v>1240</c:v>
                </c:pt>
                <c:pt idx="12">
                  <c:v>2705</c:v>
                </c:pt>
                <c:pt idx="13">
                  <c:v>1463</c:v>
                </c:pt>
                <c:pt idx="14">
                  <c:v>777</c:v>
                </c:pt>
                <c:pt idx="15">
                  <c:v>1734</c:v>
                </c:pt>
                <c:pt idx="16">
                  <c:v>1265</c:v>
                </c:pt>
                <c:pt idx="17">
                  <c:v>1190</c:v>
                </c:pt>
                <c:pt idx="18">
                  <c:v>2905</c:v>
                </c:pt>
                <c:pt idx="19">
                  <c:v>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C8-42D5-B9E2-CB195C9EB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3768144"/>
        <c:axId val="553767664"/>
      </c:barChart>
      <c:catAx>
        <c:axId val="55376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767664"/>
        <c:crosses val="autoZero"/>
        <c:auto val="1"/>
        <c:lblAlgn val="ctr"/>
        <c:lblOffset val="100"/>
        <c:noMultiLvlLbl val="0"/>
      </c:catAx>
      <c:valAx>
        <c:axId val="55376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76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Project_Excel_Ankita  Dawn after com.xlsx]Pivot Chart!PivotTable7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Chart'!$K$3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B4-4CA0-94D7-A4EF5797BC92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B4-4CA0-94D7-A4EF5797BC92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B4-4CA0-94D7-A4EF5797BC92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DB4-4CA0-94D7-A4EF5797BC92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DB4-4CA0-94D7-A4EF5797BC92}"/>
              </c:ext>
            </c:extLst>
          </c:dPt>
          <c:cat>
            <c:strRef>
              <c:f>'Pivot Chart'!$J$4:$J$9</c:f>
              <c:strCache>
                <c:ptCount val="5"/>
                <c:pt idx="0">
                  <c:v>English</c:v>
                </c:pt>
                <c:pt idx="1">
                  <c:v>French</c:v>
                </c:pt>
                <c:pt idx="2">
                  <c:v>German</c:v>
                </c:pt>
                <c:pt idx="3">
                  <c:v>Hindi</c:v>
                </c:pt>
                <c:pt idx="4">
                  <c:v>Spanish</c:v>
                </c:pt>
              </c:strCache>
            </c:strRef>
          </c:cat>
          <c:val>
            <c:numRef>
              <c:f>'Pivot Chart'!$K$4:$K$9</c:f>
              <c:numCache>
                <c:formatCode>General</c:formatCode>
                <c:ptCount val="5"/>
                <c:pt idx="0">
                  <c:v>777</c:v>
                </c:pt>
                <c:pt idx="1">
                  <c:v>735</c:v>
                </c:pt>
                <c:pt idx="2">
                  <c:v>546</c:v>
                </c:pt>
                <c:pt idx="3">
                  <c:v>363</c:v>
                </c:pt>
                <c:pt idx="4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9-49B1-83D0-82CB42154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Project_Excel_Ankita  Dawn after com.xlsx]Pivot Chart!PivotTable8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Chart'!$B$33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F9-4BFC-9B93-338AD01D587F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AF9-4BFC-9B93-338AD01D587F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AF9-4BFC-9B93-338AD01D587F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AF9-4BFC-9B93-338AD01D587F}"/>
              </c:ext>
            </c:extLst>
          </c:dPt>
          <c:cat>
            <c:strRef>
              <c:f>'Pivot Chart'!$A$34:$A$38</c:f>
              <c:strCache>
                <c:ptCount val="4"/>
                <c:pt idx="0">
                  <c:v>Fair</c:v>
                </c:pt>
                <c:pt idx="1">
                  <c:v>Good</c:v>
                </c:pt>
                <c:pt idx="2">
                  <c:v>New</c:v>
                </c:pt>
                <c:pt idx="3">
                  <c:v>Worn</c:v>
                </c:pt>
              </c:strCache>
            </c:strRef>
          </c:cat>
          <c:val>
            <c:numRef>
              <c:f>'Pivot Chart'!$B$34:$B$38</c:f>
              <c:numCache>
                <c:formatCode>General</c:formatCode>
                <c:ptCount val="4"/>
                <c:pt idx="0">
                  <c:v>434</c:v>
                </c:pt>
                <c:pt idx="1">
                  <c:v>1738</c:v>
                </c:pt>
                <c:pt idx="2">
                  <c:v>682</c:v>
                </c:pt>
                <c:pt idx="3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E-4F33-B866-6E50500E6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Project_Excel_Ankita  Dawn after com.xlsx]Pivot Chart!PivotTable9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Chart'!$K$31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Chart'!$J$32:$J$40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'Pivot Chart'!$K$32:$K$40</c:f>
              <c:numCache>
                <c:formatCode>General</c:formatCode>
                <c:ptCount val="8"/>
                <c:pt idx="0">
                  <c:v>23</c:v>
                </c:pt>
                <c:pt idx="1">
                  <c:v>658</c:v>
                </c:pt>
                <c:pt idx="2">
                  <c:v>490</c:v>
                </c:pt>
                <c:pt idx="3">
                  <c:v>322</c:v>
                </c:pt>
                <c:pt idx="4">
                  <c:v>636</c:v>
                </c:pt>
                <c:pt idx="5">
                  <c:v>368</c:v>
                </c:pt>
                <c:pt idx="6">
                  <c:v>422</c:v>
                </c:pt>
                <c:pt idx="7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4A-448E-AA94-7CDB1DE3A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1353168"/>
        <c:axId val="511343088"/>
      </c:lineChart>
      <c:catAx>
        <c:axId val="51135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343088"/>
        <c:crosses val="autoZero"/>
        <c:auto val="1"/>
        <c:lblAlgn val="ctr"/>
        <c:lblOffset val="100"/>
        <c:noMultiLvlLbl val="0"/>
      </c:catAx>
      <c:valAx>
        <c:axId val="5113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35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283818</xdr:colOff>
      <xdr:row>1</xdr:row>
      <xdr:rowOff>3810</xdr:rowOff>
    </xdr:from>
    <xdr:to>
      <xdr:col>6</xdr:col>
      <xdr:colOff>443838</xdr:colOff>
      <xdr:row>16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8B7A3D-42A6-FA36-D7A5-CFA9D92C8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27328</xdr:colOff>
      <xdr:row>2</xdr:row>
      <xdr:rowOff>3810</xdr:rowOff>
    </xdr:from>
    <xdr:to>
      <xdr:col>17</xdr:col>
      <xdr:colOff>609980</xdr:colOff>
      <xdr:row>17</xdr:row>
      <xdr:rowOff>3810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46FC23-26E4-1F8E-A5C5-2BC597547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313832</xdr:colOff>
      <xdr:row>29</xdr:row>
      <xdr:rowOff>50457</xdr:rowOff>
    </xdr:from>
    <xdr:to>
      <xdr:col>6</xdr:col>
      <xdr:colOff>473852</xdr:colOff>
      <xdr:row>44</xdr:row>
      <xdr:rowOff>50457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08BC552-64CB-C962-0EEC-D2B05DAFA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641943</xdr:colOff>
      <xdr:row>27</xdr:row>
      <xdr:rowOff>12744</xdr:rowOff>
    </xdr:from>
    <xdr:to>
      <xdr:col>18</xdr:col>
      <xdr:colOff>2455</xdr:colOff>
      <xdr:row>42</xdr:row>
      <xdr:rowOff>12744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D6EA3BE-C6F6-06FE-F3B0-E1EC6D720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0.610880902779" createdVersion="8" refreshedVersion="8" minRefreshableVersion="3" recordCount="199" xr:uid="{27B696C5-0838-4EF0-8B68-98025917821F}">
  <cacheSource type="worksheet">
    <worksheetSource ref="A1:P200" sheet="Dataset"/>
  </cacheSource>
  <cacheFields count="19">
    <cacheField name="Book_ID" numFmtId="0">
      <sharedItems containsSemiMixedTypes="0" containsString="0" containsNumber="1" containsInteger="1" minValue="101" maxValue="299"/>
    </cacheField>
    <cacheField name="Book_Title" numFmtId="0">
      <sharedItems/>
    </cacheField>
    <cacheField name="Author" numFmtId="0">
      <sharedItems/>
    </cacheField>
    <cacheField name="Category" numFmtId="0">
      <sharedItems count="20">
        <s v="Computer Science"/>
        <s v="Mathematics"/>
        <s v="Physics"/>
        <s v="Chemistry"/>
        <s v="Biology"/>
        <s v="Environmental Science"/>
        <s v="Engineering"/>
        <s v="Economics"/>
        <s v="Business &amp; Management"/>
        <s v="Commerce"/>
        <s v="Arts &amp; Literature"/>
        <s v="History"/>
        <s v="Political Science"/>
        <s v="Sociology"/>
        <s v="Philosophy"/>
        <s v="Education"/>
        <s v="Law"/>
        <s v="General Studies"/>
        <s v="Self Development"/>
        <s v="Research &amp; Analytics"/>
      </sharedItems>
    </cacheField>
    <cacheField name="ISBN" numFmtId="0">
      <sharedItems/>
    </cacheField>
    <cacheField name="Price" numFmtId="0">
      <sharedItems containsSemiMixedTypes="0" containsString="0" containsNumber="1" containsInteger="1" minValue="201" maxValue="997"/>
    </cacheField>
    <cacheField name="Language" numFmtId="0">
      <sharedItems count="5">
        <s v="German"/>
        <s v="Hindi"/>
        <s v="English"/>
        <s v="French"/>
        <s v="Spanish"/>
      </sharedItems>
    </cacheField>
    <cacheField name="Total_Copies" numFmtId="0">
      <sharedItems containsSemiMixedTypes="0" containsString="0" containsNumber="1" containsInteger="1" minValue="2" maxValue="49"/>
    </cacheField>
    <cacheField name="Issued_Copies" numFmtId="0">
      <sharedItems containsSemiMixedTypes="0" containsString="0" containsNumber="1" containsInteger="1" minValue="1" maxValue="41" count="40">
        <n v="23"/>
        <n v="19"/>
        <n v="25"/>
        <n v="12"/>
        <n v="28"/>
        <n v="9"/>
        <n v="15"/>
        <n v="31"/>
        <n v="38"/>
        <n v="30"/>
        <n v="22"/>
        <n v="10"/>
        <n v="24"/>
        <n v="11"/>
        <n v="35"/>
        <n v="29"/>
        <n v="27"/>
        <n v="20"/>
        <n v="21"/>
        <n v="26"/>
        <n v="18"/>
        <n v="13"/>
        <n v="7"/>
        <n v="14"/>
        <n v="16"/>
        <n v="6"/>
        <n v="8"/>
        <n v="4"/>
        <n v="5"/>
        <n v="3"/>
        <n v="2"/>
        <n v="1"/>
        <n v="36"/>
        <n v="40"/>
        <n v="39"/>
        <n v="41"/>
        <n v="33"/>
        <n v="32"/>
        <n v="17"/>
        <n v="34"/>
      </sharedItems>
    </cacheField>
    <cacheField name="Available_Copies" numFmtId="0">
      <sharedItems containsSemiMixedTypes="0" containsString="0" containsNumber="1" containsInteger="1" minValue="0" maxValue="24"/>
    </cacheField>
    <cacheField name="Issue_Date" numFmtId="14">
      <sharedItems containsSemiMixedTypes="0" containsNonDate="0" containsDate="1" containsString="0" minDate="2024-01-31T00:00:00" maxDate="2025-08-11T00:00:00" count="184"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5-08-10T00:00:00"/>
        <d v="2025-08-09T00:00:00"/>
        <d v="2025-08-08T00:00:00"/>
        <d v="2025-08-07T00:00:00"/>
        <d v="2025-08-06T00:00:00"/>
        <d v="2025-08-05T00:00:00"/>
        <d v="2025-08-04T00:00:00"/>
        <d v="2025-08-03T00:00:00"/>
        <d v="2025-08-02T00:00:00"/>
        <d v="2025-08-01T00:00:00"/>
      </sharedItems>
      <fieldGroup par="18"/>
    </cacheField>
    <cacheField name="Due_Date" numFmtId="14">
      <sharedItems containsSemiMixedTypes="0" containsNonDate="0" containsDate="1" containsString="0" minDate="2024-02-05T00:00:00" maxDate="2028-12-31T00:00:00"/>
    </cacheField>
    <cacheField name="Issue_Days_Allowed" numFmtId="0">
      <sharedItems containsSemiMixedTypes="0" containsString="0" containsNumber="1" containsInteger="1" minValue="5" maxValue="1591"/>
    </cacheField>
    <cacheField name="Fine_Amount" numFmtId="0">
      <sharedItems containsSemiMixedTypes="0" containsString="0" containsNumber="1" containsInteger="1" minValue="100" maxValue="900"/>
    </cacheField>
    <cacheField name="Shelf_Location" numFmtId="0">
      <sharedItems count="187">
        <s v="D-200"/>
        <s v="A-363"/>
        <s v="E-159"/>
        <s v="D-207"/>
        <s v="E-202"/>
        <s v="D-361"/>
        <s v="E-471"/>
        <s v="C-410"/>
        <s v="D-243"/>
        <s v="E-469"/>
        <s v="D-205"/>
        <s v="C-244"/>
        <s v="C-191"/>
        <s v="B-445"/>
        <s v="E-216"/>
        <s v="A-495"/>
        <s v="E-228"/>
        <s v="B-221"/>
        <s v="A-338"/>
        <s v="B-195"/>
        <s v="A-336"/>
        <s v="E-484"/>
        <s v="E-291"/>
        <s v="E-377"/>
        <s v="E-346"/>
        <s v="C-175"/>
        <s v="B-243"/>
        <s v="C-185"/>
        <s v="A-384"/>
        <s v="D-168"/>
        <s v="A-193"/>
        <s v="D-303"/>
        <s v="B-440"/>
        <s v="D-388"/>
        <s v="E-122"/>
        <s v="B-109"/>
        <s v="E-199"/>
        <s v="B-279"/>
        <s v="B-349"/>
        <s v="C-195"/>
        <s v="A-424"/>
        <s v="E-103"/>
        <s v="B-483"/>
        <s v="C-439"/>
        <s v="D-277"/>
        <s v="C-479"/>
        <s v="A-278"/>
        <s v="C-200"/>
        <s v="D-422"/>
        <s v="A-267"/>
        <s v="B-142"/>
        <s v="D-384"/>
        <s v="E-111"/>
        <s v="B-352"/>
        <s v="C-341"/>
        <s v="C-314"/>
        <s v="A-189"/>
        <s v="E-189"/>
        <s v="B-214"/>
        <s v="A-490"/>
        <s v="D-413"/>
        <s v="E-213"/>
        <s v="E-174"/>
        <s v="E-475"/>
        <s v="D-316"/>
        <s v="E-348"/>
        <s v="D-493"/>
        <s v="C-276"/>
        <s v="C-135"/>
        <s v="E-367"/>
        <s v="A-282"/>
        <s v="E-378"/>
        <s v="A-454"/>
        <s v="A-385"/>
        <s v="A-468"/>
        <s v="D-467"/>
        <s v="A-441"/>
        <s v="E-286"/>
        <s v="D-495"/>
        <s v="E-332"/>
        <s v="A-383"/>
        <s v="D-438"/>
        <s v="B-466"/>
        <s v="E-168"/>
        <s v="C-495"/>
        <s v="A-478"/>
        <s v="E-152"/>
        <s v="A-138"/>
        <s v="E-280"/>
        <s v="B-285"/>
        <s v="B-232"/>
        <s v="E-334"/>
        <s v="C-245"/>
        <s v="D-108"/>
        <s v="E-267"/>
        <s v="B-492"/>
        <s v="B-382"/>
        <s v="B-293"/>
        <s v="E-128"/>
        <s v="E-438"/>
        <s v="E-420"/>
        <s v="D-244"/>
        <s v="A-400"/>
        <s v="D-391"/>
        <s v="D-374"/>
        <s v="E-463"/>
        <s v="C-301"/>
        <s v="B-118"/>
        <s v="C-272"/>
        <s v="E-341"/>
        <s v="D-225"/>
        <s v="B-247"/>
        <s v="D-416"/>
        <s v="A-100"/>
        <s v="C-447"/>
        <s v="A-290"/>
        <s v="D-468"/>
        <s v="A-411"/>
        <s v="A-216"/>
        <s v="B-143"/>
        <s v="E-259"/>
        <s v="E-416"/>
        <s v="E-179"/>
        <s v="E-302"/>
        <s v="D-328"/>
        <s v="D-326"/>
        <s v="C-119"/>
        <s v="A-146"/>
        <s v="A-404"/>
        <s v="A-472"/>
        <s v="C-243"/>
        <s v="A-111"/>
        <s v="B-323"/>
        <s v="D-255"/>
        <s v="E-107"/>
        <s v="B-447"/>
        <s v="D-189"/>
        <s v="B-415"/>
        <s v="B-127"/>
        <s v="D-456"/>
        <s v="A-327"/>
        <s v="A-311"/>
        <s v="E-319"/>
        <s v="E-496"/>
        <s v="C-352"/>
        <s v="B-470"/>
        <s v="E-402"/>
        <s v="A-109"/>
        <s v="B-350"/>
        <s v="E-104"/>
        <s v="A-473"/>
        <s v="A-245"/>
        <s v="A-366"/>
        <s v="E-381"/>
        <s v="C-382"/>
        <s v="A-197"/>
        <s v="A-198"/>
        <s v="A-410"/>
        <s v="D-296"/>
        <s v="E-457"/>
        <s v="C-122"/>
        <s v="E-301"/>
        <s v="B-182"/>
        <s v="A-184"/>
        <s v="A-465"/>
        <s v="A-150"/>
        <s v="E-304"/>
        <s v="B-217"/>
        <s v="C-478"/>
        <s v="B-367"/>
        <s v="A-153"/>
        <s v="D-488"/>
        <s v="C-412"/>
        <s v="A-211"/>
        <s v="E-440"/>
        <s v="B-174"/>
        <s v="C-202"/>
        <s v="D-325"/>
        <s v="B-197"/>
        <s v="B-385"/>
        <s v="C-407"/>
        <s v="A-265"/>
        <s v="A-434"/>
        <s v="D-129"/>
        <s v="B-150"/>
        <s v="A-232"/>
        <s v="E-487"/>
      </sharedItems>
    </cacheField>
    <cacheField name="Book_Condition" numFmtId="0">
      <sharedItems count="4">
        <s v="Fair"/>
        <s v="Good"/>
        <s v="New"/>
        <s v="Worn"/>
      </sharedItems>
    </cacheField>
    <cacheField name="Months (Issue_Date)" numFmtId="0" databaseField="0">
      <fieldGroup base="10">
        <rangePr groupBy="months" startDate="2024-01-31T00:00:00" endDate="2025-08-11T00:00:00"/>
        <groupItems count="14">
          <s v="&lt;3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08-2025"/>
        </groupItems>
      </fieldGroup>
    </cacheField>
    <cacheField name="Quarters (Issue_Date)" numFmtId="0" databaseField="0">
      <fieldGroup base="10">
        <rangePr groupBy="quarters" startDate="2024-01-31T00:00:00" endDate="2025-08-11T00:00:00"/>
        <groupItems count="6">
          <s v="&lt;31-01-2024"/>
          <s v="Qtr1"/>
          <s v="Qtr2"/>
          <s v="Qtr3"/>
          <s v="Qtr4"/>
          <s v="&gt;11-08-2025"/>
        </groupItems>
      </fieldGroup>
    </cacheField>
    <cacheField name="Years (Issue_Date)" numFmtId="0" databaseField="0">
      <fieldGroup base="10">
        <rangePr groupBy="years" startDate="2024-01-31T00:00:00" endDate="2025-08-11T00:00:00"/>
        <groupItems count="4">
          <s v="&lt;31-01-2024"/>
          <s v="2024"/>
          <s v="2025"/>
          <s v="&gt;11-08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101"/>
    <s v="Data Structures"/>
    <s v="Seymour Lipschutz"/>
    <x v="0"/>
    <s v="978-3-16-148410"/>
    <n v="302"/>
    <x v="0"/>
    <n v="45"/>
    <x v="0"/>
    <n v="22"/>
    <x v="0"/>
    <d v="2024-02-05T00:00:00"/>
    <n v="5"/>
    <n v="460"/>
    <x v="0"/>
    <x v="0"/>
  </r>
  <r>
    <n v="102"/>
    <s v="Database Management Systems"/>
    <s v="Abraham Silberschatz"/>
    <x v="0"/>
    <s v="978-3-16-148411"/>
    <n v="635"/>
    <x v="1"/>
    <n v="37"/>
    <x v="1"/>
    <n v="18"/>
    <x v="1"/>
    <d v="2024-02-18T00:00:00"/>
    <n v="17"/>
    <n v="380"/>
    <x v="1"/>
    <x v="1"/>
  </r>
  <r>
    <n v="103"/>
    <s v="Operating Systems"/>
    <s v="Henry Korth"/>
    <x v="0"/>
    <s v="978-3-16-148412"/>
    <n v="470"/>
    <x v="2"/>
    <n v="49"/>
    <x v="2"/>
    <n v="24"/>
    <x v="2"/>
    <d v="2024-02-27T00:00:00"/>
    <n v="25"/>
    <n v="500"/>
    <x v="2"/>
    <x v="2"/>
  </r>
  <r>
    <n v="104"/>
    <s v="Computer Networks"/>
    <s v="Andrew Tanenbaum"/>
    <x v="0"/>
    <s v="978-3-16-148413"/>
    <n v="306"/>
    <x v="3"/>
    <n v="31"/>
    <x v="3"/>
    <n v="19"/>
    <x v="3"/>
    <d v="2024-03-03T00:00:00"/>
    <n v="29"/>
    <n v="240"/>
    <x v="3"/>
    <x v="2"/>
  </r>
  <r>
    <n v="105"/>
    <s v="Software Engineering"/>
    <s v="Ian Sommerville"/>
    <x v="0"/>
    <s v="978-3-16-148414"/>
    <n v="271"/>
    <x v="3"/>
    <n v="42"/>
    <x v="4"/>
    <n v="14"/>
    <x v="4"/>
    <d v="2024-03-15T00:00:00"/>
    <n v="40"/>
    <n v="560"/>
    <x v="4"/>
    <x v="1"/>
  </r>
  <r>
    <n v="106"/>
    <s v="Computer Architecture"/>
    <s v="David A. Patterson"/>
    <x v="0"/>
    <s v="978-3-16-148415"/>
    <n v="900"/>
    <x v="2"/>
    <n v="28"/>
    <x v="5"/>
    <n v="19"/>
    <x v="5"/>
    <d v="2024-03-28T00:00:00"/>
    <n v="52"/>
    <n v="900"/>
    <x v="5"/>
    <x v="1"/>
  </r>
  <r>
    <n v="107"/>
    <s v="Theory of Computation"/>
    <s v="Michael Sipser"/>
    <x v="0"/>
    <s v="978-3-16-148416"/>
    <n v="220"/>
    <x v="1"/>
    <n v="33"/>
    <x v="6"/>
    <n v="18"/>
    <x v="6"/>
    <d v="2024-04-06T00:00:00"/>
    <n v="60"/>
    <n v="300"/>
    <x v="6"/>
    <x v="2"/>
  </r>
  <r>
    <n v="108"/>
    <s v="Compiler Design"/>
    <s v="Alfred Aho"/>
    <x v="0"/>
    <s v="978-3-16-148417"/>
    <n v="814"/>
    <x v="2"/>
    <n v="48"/>
    <x v="7"/>
    <n v="17"/>
    <x v="7"/>
    <d v="2024-04-19T00:00:00"/>
    <n v="72"/>
    <n v="620"/>
    <x v="7"/>
    <x v="1"/>
  </r>
  <r>
    <n v="109"/>
    <s v="Artificial Intelligence"/>
    <s v="Stuart Russell"/>
    <x v="0"/>
    <s v="978-3-16-148418"/>
    <n v="321"/>
    <x v="3"/>
    <n v="40"/>
    <x v="8"/>
    <n v="2"/>
    <x v="8"/>
    <d v="2024-04-30T00:00:00"/>
    <n v="82"/>
    <n v="760"/>
    <x v="8"/>
    <x v="1"/>
  </r>
  <r>
    <n v="110"/>
    <s v="Machine Learning"/>
    <s v="Tom Mitchell"/>
    <x v="0"/>
    <s v="978-3-16-148419"/>
    <n v="666"/>
    <x v="4"/>
    <n v="47"/>
    <x v="9"/>
    <n v="17"/>
    <x v="9"/>
    <d v="2024-05-04T00:00:00"/>
    <n v="85"/>
    <n v="600"/>
    <x v="9"/>
    <x v="1"/>
  </r>
  <r>
    <n v="111"/>
    <s v="Deep Learning"/>
    <s v="Ian Goodfellow"/>
    <x v="0"/>
    <s v="978-3-16-148420"/>
    <n v="414"/>
    <x v="0"/>
    <n v="44"/>
    <x v="10"/>
    <n v="22"/>
    <x v="10"/>
    <d v="2024-05-17T00:00:00"/>
    <n v="97"/>
    <n v="440"/>
    <x v="10"/>
    <x v="1"/>
  </r>
  <r>
    <n v="112"/>
    <s v="Data Science Essentials"/>
    <s v="Joel Grus"/>
    <x v="0"/>
    <s v="978-3-16-148421"/>
    <n v="530"/>
    <x v="3"/>
    <n v="29"/>
    <x v="11"/>
    <n v="19"/>
    <x v="11"/>
    <d v="2024-05-29T00:00:00"/>
    <n v="108"/>
    <n v="100"/>
    <x v="11"/>
    <x v="1"/>
  </r>
  <r>
    <n v="113"/>
    <s v="Python Programming"/>
    <s v="Mark Lutz"/>
    <x v="0"/>
    <s v="978-3-16-148422"/>
    <n v="658"/>
    <x v="2"/>
    <n v="38"/>
    <x v="12"/>
    <n v="14"/>
    <x v="12"/>
    <d v="2024-06-02T00:00:00"/>
    <n v="111"/>
    <n v="480"/>
    <x v="12"/>
    <x v="1"/>
  </r>
  <r>
    <n v="114"/>
    <s v="Java Programming"/>
    <s v="Herbert Schildt"/>
    <x v="0"/>
    <s v="978-3-16-148423"/>
    <n v="287"/>
    <x v="0"/>
    <n v="30"/>
    <x v="13"/>
    <n v="19"/>
    <x v="13"/>
    <d v="2024-06-14T00:00:00"/>
    <n v="122"/>
    <n v="110"/>
    <x v="13"/>
    <x v="1"/>
  </r>
  <r>
    <n v="115"/>
    <s v="C Programming"/>
    <s v="Dennis Ritchie"/>
    <x v="0"/>
    <s v="978-3-16-148424"/>
    <n v="572"/>
    <x v="2"/>
    <n v="46"/>
    <x v="14"/>
    <n v="11"/>
    <x v="14"/>
    <d v="2024-06-27T00:00:00"/>
    <n v="134"/>
    <n v="700"/>
    <x v="14"/>
    <x v="2"/>
  </r>
  <r>
    <n v="116"/>
    <s v="C++ Programming"/>
    <s v="Bjarne Stroustrup"/>
    <x v="0"/>
    <s v="978-3-16-148425"/>
    <n v="299"/>
    <x v="2"/>
    <n v="35"/>
    <x v="15"/>
    <n v="6"/>
    <x v="15"/>
    <d v="2024-07-05T00:00:00"/>
    <n v="141"/>
    <n v="580"/>
    <x v="15"/>
    <x v="1"/>
  </r>
  <r>
    <n v="117"/>
    <s v="Web Development"/>
    <s v="Jon Duckett"/>
    <x v="0"/>
    <s v="978-3-16-148426"/>
    <n v="863"/>
    <x v="4"/>
    <n v="32"/>
    <x v="16"/>
    <n v="5"/>
    <x v="16"/>
    <d v="2024-07-18T00:00:00"/>
    <n v="153"/>
    <n v="540"/>
    <x v="16"/>
    <x v="1"/>
  </r>
  <r>
    <n v="118"/>
    <s v="Mobile App Development"/>
    <s v="Paul Deitel"/>
    <x v="0"/>
    <s v="978-3-16-148427"/>
    <n v="330"/>
    <x v="0"/>
    <n v="43"/>
    <x v="17"/>
    <n v="23"/>
    <x v="17"/>
    <d v="2024-07-31T00:00:00"/>
    <n v="165"/>
    <n v="400"/>
    <x v="17"/>
    <x v="0"/>
  </r>
  <r>
    <n v="119"/>
    <s v="Cloud Computing"/>
    <s v="Rajkumar Buyya"/>
    <x v="0"/>
    <s v="978-3-16-148428"/>
    <n v="861"/>
    <x v="0"/>
    <n v="41"/>
    <x v="1"/>
    <n v="22"/>
    <x v="18"/>
    <d v="2024-08-03T00:00:00"/>
    <n v="167"/>
    <n v="380"/>
    <x v="18"/>
    <x v="1"/>
  </r>
  <r>
    <n v="120"/>
    <s v="Cyber Security"/>
    <s v="William Stallings"/>
    <x v="0"/>
    <s v="978-3-16-148429"/>
    <n v="508"/>
    <x v="4"/>
    <n v="39"/>
    <x v="18"/>
    <n v="18"/>
    <x v="19"/>
    <d v="2024-08-16T00:00:00"/>
    <n v="179"/>
    <n v="420"/>
    <x v="19"/>
    <x v="3"/>
  </r>
  <r>
    <n v="121"/>
    <s v="Ethical Hacking"/>
    <s v="Kevin Mitnick"/>
    <x v="0"/>
    <s v="978-3-16-148430"/>
    <n v="969"/>
    <x v="3"/>
    <n v="27"/>
    <x v="3"/>
    <n v="15"/>
    <x v="20"/>
    <d v="2024-08-28T00:00:00"/>
    <n v="190"/>
    <n v="240"/>
    <x v="20"/>
    <x v="1"/>
  </r>
  <r>
    <n v="122"/>
    <s v="Internet of Things"/>
    <s v="Albert-Laszlo Barabasi"/>
    <x v="0"/>
    <s v="978-3-16-148431"/>
    <n v="543"/>
    <x v="2"/>
    <n v="36"/>
    <x v="19"/>
    <n v="10"/>
    <x v="21"/>
    <d v="2024-09-06T00:00:00"/>
    <n v="198"/>
    <n v="520"/>
    <x v="21"/>
    <x v="2"/>
  </r>
  <r>
    <n v="123"/>
    <s v="Big Data Analytics"/>
    <s v="Vijay Madisetti"/>
    <x v="0"/>
    <s v="978-3-16-148432"/>
    <n v="691"/>
    <x v="1"/>
    <n v="34"/>
    <x v="20"/>
    <n v="16"/>
    <x v="22"/>
    <d v="2024-09-19T00:00:00"/>
    <n v="210"/>
    <n v="360"/>
    <x v="22"/>
    <x v="0"/>
  </r>
  <r>
    <n v="124"/>
    <s v="Blockchain Technology"/>
    <s v="Don Tapscott"/>
    <x v="0"/>
    <s v="978-3-16-148433"/>
    <n v="613"/>
    <x v="2"/>
    <n v="25"/>
    <x v="5"/>
    <n v="16"/>
    <x v="23"/>
    <d v="2024-09-30T00:00:00"/>
    <n v="220"/>
    <n v="900"/>
    <x v="23"/>
    <x v="1"/>
  </r>
  <r>
    <n v="125"/>
    <s v="Digital Electronics"/>
    <s v="Floyd Digital"/>
    <x v="0"/>
    <s v="978-3-16-148434"/>
    <n v="585"/>
    <x v="2"/>
    <n v="26"/>
    <x v="21"/>
    <n v="13"/>
    <x v="24"/>
    <d v="2024-10-04T00:00:00"/>
    <n v="223"/>
    <n v="130"/>
    <x v="24"/>
    <x v="1"/>
  </r>
  <r>
    <n v="126"/>
    <s v="Microprocessors"/>
    <s v="Douglas Hall"/>
    <x v="0"/>
    <s v="978-3-16-148435"/>
    <n v="391"/>
    <x v="3"/>
    <n v="22"/>
    <x v="22"/>
    <n v="15"/>
    <x v="25"/>
    <d v="2024-10-17T00:00:00"/>
    <n v="235"/>
    <n v="140"/>
    <x v="25"/>
    <x v="2"/>
  </r>
  <r>
    <n v="127"/>
    <s v="Embedded Systems"/>
    <s v="Ramesh Gaonkar"/>
    <x v="0"/>
    <s v="978-3-16-148436"/>
    <n v="476"/>
    <x v="2"/>
    <n v="24"/>
    <x v="6"/>
    <n v="9"/>
    <x v="26"/>
    <d v="2024-10-29T00:00:00"/>
    <n v="246"/>
    <n v="240"/>
    <x v="26"/>
    <x v="1"/>
  </r>
  <r>
    <n v="128"/>
    <s v="Discrete Mathematics"/>
    <s v="Muhammad Ali Mazidi"/>
    <x v="1"/>
    <s v="978-3-16-148437"/>
    <n v="360"/>
    <x v="4"/>
    <n v="23"/>
    <x v="23"/>
    <n v="9"/>
    <x v="27"/>
    <d v="2024-11-02T00:00:00"/>
    <n v="249"/>
    <n v="280"/>
    <x v="27"/>
    <x v="1"/>
  </r>
  <r>
    <n v="129"/>
    <s v="Engineering Mathematics I"/>
    <s v="Kenneth Rosen"/>
    <x v="1"/>
    <s v="978-3-16-148438"/>
    <n v="659"/>
    <x v="4"/>
    <n v="21"/>
    <x v="24"/>
    <n v="5"/>
    <x v="28"/>
    <d v="2024-11-15T00:00:00"/>
    <n v="261"/>
    <n v="320"/>
    <x v="28"/>
    <x v="1"/>
  </r>
  <r>
    <n v="130"/>
    <s v="Engineering Mathematics II"/>
    <s v="Erwin Kreyszig"/>
    <x v="1"/>
    <s v="978-3-16-148439"/>
    <n v="513"/>
    <x v="0"/>
    <n v="20"/>
    <x v="13"/>
    <n v="9"/>
    <x v="29"/>
    <d v="2024-11-28T00:00:00"/>
    <n v="273"/>
    <n v="200"/>
    <x v="29"/>
    <x v="0"/>
  </r>
  <r>
    <n v="131"/>
    <s v="Linear Algebra"/>
    <s v="B. S. Grewal"/>
    <x v="1"/>
    <s v="978-3-16-148440"/>
    <n v="221"/>
    <x v="1"/>
    <n v="19"/>
    <x v="11"/>
    <n v="9"/>
    <x v="30"/>
    <d v="2024-12-05T00:00:00"/>
    <n v="279"/>
    <n v="100"/>
    <x v="30"/>
    <x v="2"/>
  </r>
  <r>
    <n v="132"/>
    <s v="Probability and Statistics"/>
    <s v="Gilbert Strang"/>
    <x v="1"/>
    <s v="978-3-16-148441"/>
    <n v="452"/>
    <x v="2"/>
    <n v="18"/>
    <x v="25"/>
    <n v="12"/>
    <x v="31"/>
    <d v="2024-12-18T00:00:00"/>
    <n v="291"/>
    <n v="600"/>
    <x v="31"/>
    <x v="1"/>
  </r>
  <r>
    <n v="133"/>
    <s v="Numerical Methods"/>
    <s v="Sheldon Ross"/>
    <x v="1"/>
    <s v="978-3-16-148442"/>
    <n v="947"/>
    <x v="2"/>
    <n v="17"/>
    <x v="26"/>
    <n v="9"/>
    <x v="32"/>
    <d v="2024-12-30T00:00:00"/>
    <n v="302"/>
    <n v="480"/>
    <x v="32"/>
    <x v="1"/>
  </r>
  <r>
    <n v="134"/>
    <s v="Operations Research"/>
    <s v="Steven Chapra"/>
    <x v="1"/>
    <s v="978-3-16-148443"/>
    <n v="760"/>
    <x v="3"/>
    <n v="16"/>
    <x v="27"/>
    <n v="12"/>
    <x v="33"/>
    <d v="2025-01-04T00:00:00"/>
    <n v="306"/>
    <n v="320"/>
    <x v="33"/>
    <x v="2"/>
  </r>
  <r>
    <n v="135"/>
    <s v="Graph Theory"/>
    <s v="Hamdy Taha"/>
    <x v="1"/>
    <s v="978-3-16-148444"/>
    <n v="674"/>
    <x v="4"/>
    <n v="15"/>
    <x v="5"/>
    <n v="6"/>
    <x v="34"/>
    <d v="2025-01-16T00:00:00"/>
    <n v="317"/>
    <n v="340"/>
    <x v="34"/>
    <x v="1"/>
  </r>
  <r>
    <n v="136"/>
    <s v="Calculus"/>
    <s v="Douglas West"/>
    <x v="1"/>
    <s v="978-3-16-148445"/>
    <n v="258"/>
    <x v="1"/>
    <n v="14"/>
    <x v="28"/>
    <n v="9"/>
    <x v="35"/>
    <d v="2025-01-29T00:00:00"/>
    <n v="329"/>
    <n v="360"/>
    <x v="35"/>
    <x v="1"/>
  </r>
  <r>
    <n v="137"/>
    <s v="Differential Equations"/>
    <s v="Thomas Finney"/>
    <x v="1"/>
    <s v="978-3-16-148446"/>
    <n v="710"/>
    <x v="0"/>
    <n v="13"/>
    <x v="22"/>
    <n v="6"/>
    <x v="36"/>
    <d v="2025-02-06T00:00:00"/>
    <n v="336"/>
    <n v="400"/>
    <x v="36"/>
    <x v="1"/>
  </r>
  <r>
    <n v="138"/>
    <s v="Applied Mathematics"/>
    <s v="Dennis Zill"/>
    <x v="1"/>
    <s v="978-3-16-148447"/>
    <n v="881"/>
    <x v="4"/>
    <n v="12"/>
    <x v="29"/>
    <n v="9"/>
    <x v="37"/>
    <d v="2025-02-18T00:00:00"/>
    <n v="347"/>
    <n v="420"/>
    <x v="37"/>
    <x v="2"/>
  </r>
  <r>
    <n v="139"/>
    <s v="Physics I"/>
    <s v="Peter Olver"/>
    <x v="2"/>
    <s v="978-3-16-148448"/>
    <n v="675"/>
    <x v="0"/>
    <n v="11"/>
    <x v="25"/>
    <n v="5"/>
    <x v="38"/>
    <d v="2025-02-27T00:00:00"/>
    <n v="355"/>
    <n v="440"/>
    <x v="38"/>
    <x v="1"/>
  </r>
  <r>
    <n v="140"/>
    <s v="Physics II"/>
    <s v="David Halliday"/>
    <x v="2"/>
    <s v="978-3-16-148449"/>
    <n v="899"/>
    <x v="3"/>
    <n v="10"/>
    <x v="27"/>
    <n v="6"/>
    <x v="39"/>
    <d v="2025-03-05T00:00:00"/>
    <n v="360"/>
    <n v="460"/>
    <x v="39"/>
    <x v="2"/>
  </r>
  <r>
    <n v="141"/>
    <s v="Quantum Mechanics"/>
    <s v="Robert Resnick"/>
    <x v="2"/>
    <s v="978-3-16-148450"/>
    <n v="982"/>
    <x v="3"/>
    <n v="9"/>
    <x v="29"/>
    <n v="6"/>
    <x v="40"/>
    <d v="2025-03-17T00:00:00"/>
    <n v="371"/>
    <n v="480"/>
    <x v="40"/>
    <x v="0"/>
  </r>
  <r>
    <n v="142"/>
    <s v="Classical Mechanics"/>
    <s v="David Griffiths"/>
    <x v="2"/>
    <s v="978-3-16-148451"/>
    <n v="389"/>
    <x v="2"/>
    <n v="8"/>
    <x v="30"/>
    <n v="6"/>
    <x v="41"/>
    <d v="2025-03-28T00:00:00"/>
    <n v="381"/>
    <n v="300"/>
    <x v="41"/>
    <x v="2"/>
  </r>
  <r>
    <n v="143"/>
    <s v="Electronics Fundamentals"/>
    <s v="Herbert Goldstein"/>
    <x v="2"/>
    <s v="978-3-16-148452"/>
    <n v="886"/>
    <x v="1"/>
    <n v="7"/>
    <x v="31"/>
    <n v="6"/>
    <x v="42"/>
    <d v="2025-04-04T00:00:00"/>
    <n v="387"/>
    <n v="200"/>
    <x v="42"/>
    <x v="1"/>
  </r>
  <r>
    <n v="144"/>
    <s v="Electrical Circuits"/>
    <s v="Boylestad Nashelsky"/>
    <x v="2"/>
    <s v="978-3-16-148453"/>
    <n v="762"/>
    <x v="0"/>
    <n v="6"/>
    <x v="30"/>
    <n v="4"/>
    <x v="43"/>
    <d v="2025-04-16T00:00:00"/>
    <n v="398"/>
    <n v="180"/>
    <x v="43"/>
    <x v="3"/>
  </r>
  <r>
    <n v="145"/>
    <s v="Control Systems"/>
    <s v="Charles Alexander"/>
    <x v="2"/>
    <s v="978-3-16-148454"/>
    <n v="766"/>
    <x v="4"/>
    <n v="5"/>
    <x v="31"/>
    <n v="4"/>
    <x v="44"/>
    <d v="2025-04-29T00:00:00"/>
    <n v="410"/>
    <n v="360"/>
    <x v="44"/>
    <x v="1"/>
  </r>
  <r>
    <n v="146"/>
    <s v="Signals and Systems"/>
    <s v="Norman Nise"/>
    <x v="2"/>
    <s v="978-3-16-148455"/>
    <n v="443"/>
    <x v="3"/>
    <n v="4"/>
    <x v="31"/>
    <n v="3"/>
    <x v="45"/>
    <d v="2025-05-05T00:00:00"/>
    <n v="415"/>
    <n v="240"/>
    <x v="45"/>
    <x v="0"/>
  </r>
  <r>
    <n v="147"/>
    <s v="Communication Systems"/>
    <s v="Alan Oppenheim"/>
    <x v="2"/>
    <s v="978-3-16-148456"/>
    <n v="704"/>
    <x v="2"/>
    <n v="3"/>
    <x v="31"/>
    <n v="2"/>
    <x v="46"/>
    <d v="2025-05-18T00:00:00"/>
    <n v="427"/>
    <n v="400"/>
    <x v="46"/>
    <x v="2"/>
  </r>
  <r>
    <n v="148"/>
    <s v="Electromagnetic Theory"/>
    <s v="Simon Haykin"/>
    <x v="2"/>
    <s v="978-3-16-148457"/>
    <n v="330"/>
    <x v="2"/>
    <n v="2"/>
    <x v="31"/>
    <n v="1"/>
    <x v="47"/>
    <d v="2025-05-30T00:00:00"/>
    <n v="438"/>
    <n v="320"/>
    <x v="47"/>
    <x v="1"/>
  </r>
  <r>
    <n v="149"/>
    <s v="Solid State Physics"/>
    <s v="William Tomasi"/>
    <x v="2"/>
    <s v="978-3-16-148458"/>
    <n v="684"/>
    <x v="0"/>
    <n v="49"/>
    <x v="32"/>
    <n v="13"/>
    <x v="48"/>
    <d v="2025-06-03T00:00:00"/>
    <n v="441"/>
    <n v="280"/>
    <x v="48"/>
    <x v="1"/>
  </r>
  <r>
    <n v="150"/>
    <s v="Optics"/>
    <s v="Matthew Sadiku"/>
    <x v="2"/>
    <s v="978-3-16-148459"/>
    <n v="846"/>
    <x v="3"/>
    <n v="48"/>
    <x v="33"/>
    <n v="8"/>
    <x v="49"/>
    <d v="2025-06-15T00:00:00"/>
    <n v="452"/>
    <n v="440"/>
    <x v="49"/>
    <x v="1"/>
  </r>
  <r>
    <n v="151"/>
    <s v="Chemistry I"/>
    <s v="Charles Kittel"/>
    <x v="3"/>
    <s v="978-3-16-148460"/>
    <n v="220"/>
    <x v="1"/>
    <n v="47"/>
    <x v="34"/>
    <n v="8"/>
    <x v="50"/>
    <d v="2025-06-27T00:00:00"/>
    <n v="463"/>
    <n v="380"/>
    <x v="50"/>
    <x v="2"/>
  </r>
  <r>
    <n v="152"/>
    <s v="Chemistry II"/>
    <s v="Eugene Hecht"/>
    <x v="3"/>
    <s v="978-3-16-148461"/>
    <n v="366"/>
    <x v="3"/>
    <n v="46"/>
    <x v="35"/>
    <n v="5"/>
    <x v="51"/>
    <d v="2025-07-04T00:00:00"/>
    <n v="469"/>
    <n v="260"/>
    <x v="51"/>
    <x v="2"/>
  </r>
  <r>
    <n v="153"/>
    <s v="Organic Chemistry"/>
    <s v="Raymond Chang"/>
    <x v="3"/>
    <s v="978-3-16-148462"/>
    <n v="473"/>
    <x v="0"/>
    <n v="45"/>
    <x v="8"/>
    <n v="7"/>
    <x v="52"/>
    <d v="2025-07-17T00:00:00"/>
    <n v="481"/>
    <n v="420"/>
    <x v="52"/>
    <x v="2"/>
  </r>
  <r>
    <n v="154"/>
    <s v="Inorganic Chemistry"/>
    <s v="Paula Bruice"/>
    <x v="3"/>
    <s v="978-3-16-148463"/>
    <n v="587"/>
    <x v="0"/>
    <n v="44"/>
    <x v="36"/>
    <n v="11"/>
    <x v="53"/>
    <d v="2025-07-30T00:00:00"/>
    <n v="493"/>
    <n v="300"/>
    <x v="53"/>
    <x v="1"/>
  </r>
  <r>
    <n v="155"/>
    <s v="Physical Chemistry"/>
    <s v="Morrison Boyd"/>
    <x v="3"/>
    <s v="978-3-16-148464"/>
    <n v="800"/>
    <x v="3"/>
    <n v="43"/>
    <x v="37"/>
    <n v="11"/>
    <x v="54"/>
    <d v="2025-08-02T00:00:00"/>
    <n v="495"/>
    <n v="120"/>
    <x v="54"/>
    <x v="0"/>
  </r>
  <r>
    <n v="156"/>
    <s v="Environmental Chemistry"/>
    <s v="Peter Atkins"/>
    <x v="3"/>
    <s v="978-3-16-148465"/>
    <n v="515"/>
    <x v="0"/>
    <n v="42"/>
    <x v="7"/>
    <n v="11"/>
    <x v="55"/>
    <d v="2025-08-16T00:00:00"/>
    <n v="508"/>
    <n v="160"/>
    <x v="55"/>
    <x v="1"/>
  </r>
  <r>
    <n v="157"/>
    <s v="Biochemistry"/>
    <s v="Donald McQuarrie"/>
    <x v="3"/>
    <s v="978-3-16-148466"/>
    <n v="213"/>
    <x v="3"/>
    <n v="41"/>
    <x v="15"/>
    <n v="12"/>
    <x v="56"/>
    <d v="2025-08-28T00:00:00"/>
    <n v="519"/>
    <n v="280"/>
    <x v="56"/>
    <x v="2"/>
  </r>
  <r>
    <n v="158"/>
    <s v="Industrial Chemistry"/>
    <s v="A. K. De"/>
    <x v="3"/>
    <s v="978-3-16-148467"/>
    <n v="441"/>
    <x v="4"/>
    <n v="40"/>
    <x v="16"/>
    <n v="13"/>
    <x v="57"/>
    <d v="2025-09-05T00:00:00"/>
    <n v="526"/>
    <n v="180"/>
    <x v="57"/>
    <x v="0"/>
  </r>
  <r>
    <n v="159"/>
    <s v="Polymer Chemistry"/>
    <s v="Jeremy Ramsden"/>
    <x v="3"/>
    <s v="978-3-16-148468"/>
    <n v="976"/>
    <x v="3"/>
    <n v="39"/>
    <x v="2"/>
    <n v="14"/>
    <x v="58"/>
    <d v="2025-09-18T00:00:00"/>
    <n v="538"/>
    <n v="200"/>
    <x v="58"/>
    <x v="1"/>
  </r>
  <r>
    <n v="160"/>
    <s v="Green Chemistry"/>
    <s v="George Odian"/>
    <x v="3"/>
    <s v="978-3-16-148469"/>
    <n v="545"/>
    <x v="3"/>
    <n v="38"/>
    <x v="0"/>
    <n v="15"/>
    <x v="59"/>
    <d v="2025-09-30T00:00:00"/>
    <n v="549"/>
    <n v="120"/>
    <x v="59"/>
    <x v="1"/>
  </r>
  <r>
    <n v="161"/>
    <s v="Biology"/>
    <s v="John Warner"/>
    <x v="4"/>
    <s v="978-3-16-148470"/>
    <n v="764"/>
    <x v="0"/>
    <n v="37"/>
    <x v="10"/>
    <n v="15"/>
    <x v="60"/>
    <d v="2025-10-04T00:00:00"/>
    <n v="552"/>
    <n v="140"/>
    <x v="60"/>
    <x v="2"/>
  </r>
  <r>
    <n v="162"/>
    <s v="Cell Biology"/>
    <s v="Campbell Reece"/>
    <x v="4"/>
    <s v="978-3-16-148471"/>
    <n v="539"/>
    <x v="0"/>
    <n v="36"/>
    <x v="17"/>
    <n v="16"/>
    <x v="61"/>
    <d v="2025-10-17T00:00:00"/>
    <n v="564"/>
    <n v="800"/>
    <x v="61"/>
    <x v="1"/>
  </r>
  <r>
    <n v="163"/>
    <s v="Molecular Biology"/>
    <s v="Bruce Alberts"/>
    <x v="4"/>
    <s v="978-3-16-148472"/>
    <n v="291"/>
    <x v="2"/>
    <n v="35"/>
    <x v="1"/>
    <n v="16"/>
    <x v="62"/>
    <d v="2025-10-29T00:00:00"/>
    <n v="575"/>
    <n v="320"/>
    <x v="62"/>
    <x v="2"/>
  </r>
  <r>
    <n v="164"/>
    <s v="Genetics"/>
    <s v="James Watson"/>
    <x v="4"/>
    <s v="978-3-16-148473"/>
    <n v="566"/>
    <x v="2"/>
    <n v="34"/>
    <x v="38"/>
    <n v="17"/>
    <x v="63"/>
    <d v="2025-11-03T00:00:00"/>
    <n v="579"/>
    <n v="240"/>
    <x v="63"/>
    <x v="1"/>
  </r>
  <r>
    <n v="165"/>
    <s v="Biotechnology"/>
    <s v="Benjamin Lewin"/>
    <x v="4"/>
    <s v="978-3-16-148474"/>
    <n v="654"/>
    <x v="4"/>
    <n v="33"/>
    <x v="6"/>
    <n v="18"/>
    <x v="64"/>
    <d v="2025-11-15T00:00:00"/>
    <n v="590"/>
    <n v="300"/>
    <x v="64"/>
    <x v="0"/>
  </r>
  <r>
    <n v="166"/>
    <s v="Microbiology"/>
    <s v="K. S. Verma"/>
    <x v="4"/>
    <s v="978-3-16-148475"/>
    <n v="627"/>
    <x v="2"/>
    <n v="32"/>
    <x v="23"/>
    <n v="18"/>
    <x v="65"/>
    <d v="2025-11-28T00:00:00"/>
    <n v="602"/>
    <n v="260"/>
    <x v="65"/>
    <x v="2"/>
  </r>
  <r>
    <n v="167"/>
    <s v="Human Anatomy"/>
    <s v="William Thieman"/>
    <x v="4"/>
    <s v="978-3-16-148476"/>
    <n v="708"/>
    <x v="3"/>
    <n v="31"/>
    <x v="3"/>
    <n v="19"/>
    <x v="66"/>
    <d v="2025-12-05T00:00:00"/>
    <n v="608"/>
    <n v="200"/>
    <x v="66"/>
    <x v="1"/>
  </r>
  <r>
    <n v="168"/>
    <s v="Physiology"/>
    <s v="Gerald Tortora"/>
    <x v="4"/>
    <s v="978-3-16-148477"/>
    <n v="975"/>
    <x v="0"/>
    <n v="30"/>
    <x v="0"/>
    <n v="7"/>
    <x v="67"/>
    <d v="2025-12-18T00:00:00"/>
    <n v="620"/>
    <n v="180"/>
    <x v="22"/>
    <x v="2"/>
  </r>
  <r>
    <n v="169"/>
    <s v="Zoology"/>
    <s v="Guyton Hall"/>
    <x v="4"/>
    <s v="978-3-16-148478"/>
    <n v="234"/>
    <x v="2"/>
    <n v="29"/>
    <x v="3"/>
    <n v="17"/>
    <x v="68"/>
    <d v="2025-12-30T00:00:00"/>
    <n v="631"/>
    <n v="100"/>
    <x v="67"/>
    <x v="1"/>
  </r>
  <r>
    <n v="170"/>
    <s v="Botany"/>
    <s v="Jordan H. Young"/>
    <x v="4"/>
    <s v="978-3-16-148479"/>
    <n v="405"/>
    <x v="2"/>
    <n v="28"/>
    <x v="0"/>
    <n v="5"/>
    <x v="69"/>
    <d v="2026-01-03T00:00:00"/>
    <n v="634"/>
    <n v="220"/>
    <x v="68"/>
    <x v="1"/>
  </r>
  <r>
    <n v="171"/>
    <s v="Environmental Science"/>
    <s v="V. K. Agarwal"/>
    <x v="5"/>
    <s v="978-3-16-148480"/>
    <n v="280"/>
    <x v="4"/>
    <n v="27"/>
    <x v="3"/>
    <n v="15"/>
    <x v="70"/>
    <d v="2026-01-16T00:00:00"/>
    <n v="646"/>
    <n v="280"/>
    <x v="19"/>
    <x v="1"/>
  </r>
  <r>
    <n v="172"/>
    <s v="Ecology"/>
    <s v="Odum Barrett"/>
    <x v="5"/>
    <s v="978-3-16-148481"/>
    <n v="761"/>
    <x v="4"/>
    <n v="26"/>
    <x v="21"/>
    <n v="13"/>
    <x v="71"/>
    <d v="2026-01-28T00:00:00"/>
    <n v="657"/>
    <n v="320"/>
    <x v="69"/>
    <x v="1"/>
  </r>
  <r>
    <n v="173"/>
    <s v="Earth Science"/>
    <s v="Ernst G. Berthold"/>
    <x v="5"/>
    <s v="978-3-16-148482"/>
    <n v="587"/>
    <x v="3"/>
    <n v="25"/>
    <x v="0"/>
    <n v="2"/>
    <x v="72"/>
    <d v="2026-02-05T00:00:00"/>
    <n v="664"/>
    <n v="360"/>
    <x v="70"/>
    <x v="1"/>
  </r>
  <r>
    <n v="174"/>
    <s v="Geography"/>
    <s v="Arthur Strahler"/>
    <x v="5"/>
    <s v="978-3-16-148483"/>
    <n v="201"/>
    <x v="0"/>
    <n v="24"/>
    <x v="29"/>
    <n v="21"/>
    <x v="73"/>
    <d v="2026-02-17T00:00:00"/>
    <n v="675"/>
    <n v="400"/>
    <x v="71"/>
    <x v="1"/>
  </r>
  <r>
    <n v="175"/>
    <s v="Geology"/>
    <s v="Alan Trenhaile"/>
    <x v="5"/>
    <s v="978-3-16-148484"/>
    <n v="589"/>
    <x v="4"/>
    <n v="23"/>
    <x v="21"/>
    <n v="10"/>
    <x v="74"/>
    <d v="2026-02-27T00:00:00"/>
    <n v="684"/>
    <n v="420"/>
    <x v="72"/>
    <x v="1"/>
  </r>
  <r>
    <n v="176"/>
    <s v="Climatology"/>
    <s v="Brian Fagan"/>
    <x v="5"/>
    <s v="978-3-16-148485"/>
    <n v="765"/>
    <x v="2"/>
    <n v="22"/>
    <x v="21"/>
    <n v="9"/>
    <x v="75"/>
    <d v="2026-03-04T00:00:00"/>
    <n v="688"/>
    <n v="440"/>
    <x v="73"/>
    <x v="1"/>
  </r>
  <r>
    <n v="177"/>
    <s v="Oceanography"/>
    <s v="John Oliver"/>
    <x v="5"/>
    <s v="978-3-16-148486"/>
    <n v="305"/>
    <x v="0"/>
    <n v="21"/>
    <x v="31"/>
    <n v="20"/>
    <x v="76"/>
    <d v="2026-03-16T00:00:00"/>
    <n v="699"/>
    <n v="460"/>
    <x v="74"/>
    <x v="1"/>
  </r>
  <r>
    <n v="178"/>
    <s v="Disaster Management"/>
    <s v="Michael Glantz"/>
    <x v="5"/>
    <s v="978-3-16-148487"/>
    <n v="971"/>
    <x v="0"/>
    <n v="20"/>
    <x v="31"/>
    <n v="19"/>
    <x v="77"/>
    <d v="2026-03-28T00:00:00"/>
    <n v="710"/>
    <n v="480"/>
    <x v="75"/>
    <x v="1"/>
  </r>
  <r>
    <n v="179"/>
    <s v="Sustainable Development"/>
    <s v="Charles Redman"/>
    <x v="5"/>
    <s v="978-3-16-148488"/>
    <n v="676"/>
    <x v="2"/>
    <n v="19"/>
    <x v="30"/>
    <n v="17"/>
    <x v="78"/>
    <d v="2026-04-03T00:00:00"/>
    <n v="715"/>
    <n v="180"/>
    <x v="76"/>
    <x v="1"/>
  </r>
  <r>
    <n v="180"/>
    <s v="Renewable Energy"/>
    <s v="Nicholas Stern"/>
    <x v="5"/>
    <s v="978-3-16-148489"/>
    <n v="902"/>
    <x v="4"/>
    <n v="18"/>
    <x v="29"/>
    <n v="15"/>
    <x v="79"/>
    <d v="2026-04-15T00:00:00"/>
    <n v="726"/>
    <n v="200"/>
    <x v="77"/>
    <x v="1"/>
  </r>
  <r>
    <n v="181"/>
    <s v="Engineering Drawing"/>
    <s v="K. L. Kumar"/>
    <x v="6"/>
    <s v="978-3-16-148490"/>
    <n v="601"/>
    <x v="2"/>
    <n v="17"/>
    <x v="27"/>
    <n v="13"/>
    <x v="80"/>
    <d v="2026-04-29T00:00:00"/>
    <n v="739"/>
    <n v="240"/>
    <x v="67"/>
    <x v="0"/>
  </r>
  <r>
    <n v="182"/>
    <s v="Engineering Mechanics"/>
    <s v="David Goetsch"/>
    <x v="6"/>
    <s v="978-3-16-148491"/>
    <n v="929"/>
    <x v="0"/>
    <n v="16"/>
    <x v="28"/>
    <n v="11"/>
    <x v="81"/>
    <d v="2026-05-04T00:00:00"/>
    <n v="743"/>
    <n v="160"/>
    <x v="78"/>
    <x v="1"/>
  </r>
  <r>
    <n v="183"/>
    <s v="Strength of Materials"/>
    <s v="Hibbeler"/>
    <x v="6"/>
    <s v="978-3-16-148492"/>
    <n v="755"/>
    <x v="1"/>
    <n v="15"/>
    <x v="25"/>
    <n v="9"/>
    <x v="82"/>
    <d v="2026-05-18T00:00:00"/>
    <n v="756"/>
    <n v="280"/>
    <x v="79"/>
    <x v="2"/>
  </r>
  <r>
    <n v="184"/>
    <s v="Fluid Mechanics"/>
    <s v="Bansal"/>
    <x v="6"/>
    <s v="978-3-16-148493"/>
    <n v="361"/>
    <x v="1"/>
    <n v="14"/>
    <x v="22"/>
    <n v="7"/>
    <x v="83"/>
    <d v="2026-05-30T00:00:00"/>
    <n v="767"/>
    <n v="300"/>
    <x v="25"/>
    <x v="1"/>
  </r>
  <r>
    <n v="185"/>
    <s v="Thermodynamics"/>
    <s v="Fox McDonald"/>
    <x v="6"/>
    <s v="978-3-16-148494"/>
    <n v="401"/>
    <x v="3"/>
    <n v="13"/>
    <x v="26"/>
    <n v="5"/>
    <x v="84"/>
    <d v="2026-06-02T00:00:00"/>
    <n v="769"/>
    <n v="340"/>
    <x v="80"/>
    <x v="1"/>
  </r>
  <r>
    <n v="186"/>
    <s v="Heat Transfer"/>
    <s v="Yunus Cengel"/>
    <x v="6"/>
    <s v="978-3-16-148495"/>
    <n v="469"/>
    <x v="2"/>
    <n v="12"/>
    <x v="5"/>
    <n v="3"/>
    <x v="85"/>
    <d v="2026-06-16T00:00:00"/>
    <n v="782"/>
    <n v="320"/>
    <x v="81"/>
    <x v="0"/>
  </r>
  <r>
    <n v="187"/>
    <s v="Manufacturing Processes"/>
    <s v="Incropera Dewitt"/>
    <x v="6"/>
    <s v="978-3-16-148496"/>
    <n v="470"/>
    <x v="2"/>
    <n v="11"/>
    <x v="11"/>
    <n v="1"/>
    <x v="86"/>
    <d v="2026-06-28T00:00:00"/>
    <n v="793"/>
    <n v="180"/>
    <x v="82"/>
    <x v="2"/>
  </r>
  <r>
    <n v="188"/>
    <s v="Machine Design"/>
    <s v="Kalpakjian Schmid"/>
    <x v="6"/>
    <s v="978-3-16-148497"/>
    <n v="655"/>
    <x v="3"/>
    <n v="11"/>
    <x v="11"/>
    <n v="1"/>
    <x v="87"/>
    <d v="2026-07-03T00:00:00"/>
    <n v="797"/>
    <n v="200"/>
    <x v="83"/>
    <x v="2"/>
  </r>
  <r>
    <n v="189"/>
    <s v="Robotics"/>
    <s v="Shigley Mischke"/>
    <x v="6"/>
    <s v="978-3-16-148498"/>
    <n v="661"/>
    <x v="3"/>
    <n v="12"/>
    <x v="5"/>
    <n v="3"/>
    <x v="88"/>
    <d v="2026-07-17T00:00:00"/>
    <n v="810"/>
    <n v="160"/>
    <x v="84"/>
    <x v="1"/>
  </r>
  <r>
    <n v="190"/>
    <s v="Mechatronics"/>
    <s v="Craig"/>
    <x v="6"/>
    <s v="978-3-16-148499"/>
    <n v="926"/>
    <x v="3"/>
    <n v="13"/>
    <x v="26"/>
    <n v="5"/>
    <x v="89"/>
    <d v="2026-07-30T00:00:00"/>
    <n v="822"/>
    <n v="120"/>
    <x v="85"/>
    <x v="1"/>
  </r>
  <r>
    <n v="191"/>
    <s v="Automobile Engineering"/>
    <s v="Bolton"/>
    <x v="6"/>
    <s v="978-3-16-148500"/>
    <n v="451"/>
    <x v="0"/>
    <n v="14"/>
    <x v="22"/>
    <n v="7"/>
    <x v="90"/>
    <d v="2026-08-04T00:00:00"/>
    <n v="826"/>
    <n v="260"/>
    <x v="86"/>
    <x v="0"/>
  </r>
  <r>
    <n v="192"/>
    <s v="Aeronautical Engineering"/>
    <s v="Kirpal Singh"/>
    <x v="6"/>
    <s v="978-3-16-148501"/>
    <n v="901"/>
    <x v="2"/>
    <n v="15"/>
    <x v="25"/>
    <n v="9"/>
    <x v="91"/>
    <d v="2026-08-18T00:00:00"/>
    <n v="839"/>
    <n v="280"/>
    <x v="87"/>
    <x v="2"/>
  </r>
  <r>
    <n v="193"/>
    <s v="Civil Engineering Materials"/>
    <s v="Anderson"/>
    <x v="6"/>
    <s v="978-3-16-148502"/>
    <n v="495"/>
    <x v="0"/>
    <n v="16"/>
    <x v="28"/>
    <n v="11"/>
    <x v="92"/>
    <d v="2026-08-29T00:00:00"/>
    <n v="849"/>
    <n v="320"/>
    <x v="88"/>
    <x v="0"/>
  </r>
  <r>
    <n v="194"/>
    <s v="Structural Analysis"/>
    <s v="Kreith"/>
    <x v="6"/>
    <s v="978-3-16-148503"/>
    <n v="924"/>
    <x v="3"/>
    <n v="17"/>
    <x v="27"/>
    <n v="13"/>
    <x v="93"/>
    <d v="2026-09-05T00:00:00"/>
    <n v="855"/>
    <n v="360"/>
    <x v="89"/>
    <x v="2"/>
  </r>
  <r>
    <n v="195"/>
    <s v="Geotechnical Engineering"/>
    <s v="Gibson"/>
    <x v="6"/>
    <s v="978-3-16-148504"/>
    <n v="919"/>
    <x v="2"/>
    <n v="18"/>
    <x v="29"/>
    <n v="15"/>
    <x v="94"/>
    <d v="2026-09-17T00:00:00"/>
    <n v="866"/>
    <n v="380"/>
    <x v="90"/>
    <x v="0"/>
  </r>
  <r>
    <n v="196"/>
    <s v="Transportation Engineering"/>
    <s v="Bansal"/>
    <x v="6"/>
    <s v="978-3-16-148505"/>
    <n v="948"/>
    <x v="0"/>
    <n v="19"/>
    <x v="30"/>
    <n v="17"/>
    <x v="95"/>
    <d v="2026-09-30T00:00:00"/>
    <n v="878"/>
    <n v="400"/>
    <x v="55"/>
    <x v="2"/>
  </r>
  <r>
    <n v="197"/>
    <s v="Environmental Engineering"/>
    <s v="V. B. Raju"/>
    <x v="6"/>
    <s v="978-3-16-148506"/>
    <n v="537"/>
    <x v="0"/>
    <n v="20"/>
    <x v="31"/>
    <n v="19"/>
    <x v="96"/>
    <d v="2026-10-03T00:00:00"/>
    <n v="880"/>
    <n v="420"/>
    <x v="91"/>
    <x v="2"/>
  </r>
  <r>
    <n v="198"/>
    <s v="Construction Planning"/>
    <s v="Kadiyali"/>
    <x v="6"/>
    <s v="978-3-16-148507"/>
    <n v="252"/>
    <x v="3"/>
    <n v="49"/>
    <x v="14"/>
    <n v="14"/>
    <x v="97"/>
    <d v="2026-10-16T00:00:00"/>
    <n v="892"/>
    <n v="440"/>
    <x v="92"/>
    <x v="1"/>
  </r>
  <r>
    <n v="199"/>
    <s v="Surveying"/>
    <s v="Raghuwanshi"/>
    <x v="6"/>
    <s v="978-3-16-148508"/>
    <n v="991"/>
    <x v="2"/>
    <n v="48"/>
    <x v="36"/>
    <n v="15"/>
    <x v="98"/>
    <d v="2026-10-28T00:00:00"/>
    <n v="903"/>
    <n v="460"/>
    <x v="93"/>
    <x v="3"/>
  </r>
  <r>
    <n v="200"/>
    <s v="Remote Sensing"/>
    <s v="Arora Bindra"/>
    <x v="6"/>
    <s v="978-3-16-148509"/>
    <n v="416"/>
    <x v="3"/>
    <n v="47"/>
    <x v="37"/>
    <n v="15"/>
    <x v="99"/>
    <d v="2026-11-04T00:00:00"/>
    <n v="909"/>
    <n v="480"/>
    <x v="53"/>
    <x v="0"/>
  </r>
  <r>
    <n v="201"/>
    <s v="Economics"/>
    <s v="Thomas"/>
    <x v="7"/>
    <s v="978-3-16-148510"/>
    <n v="963"/>
    <x v="2"/>
    <n v="46"/>
    <x v="0"/>
    <n v="23"/>
    <x v="100"/>
    <d v="2026-11-17T00:00:00"/>
    <n v="921"/>
    <n v="200"/>
    <x v="94"/>
    <x v="1"/>
  </r>
  <r>
    <n v="202"/>
    <s v="Microeconomics"/>
    <s v="Strayer"/>
    <x v="7"/>
    <s v="978-3-16-148511"/>
    <n v="387"/>
    <x v="1"/>
    <n v="45"/>
    <x v="15"/>
    <n v="16"/>
    <x v="101"/>
    <d v="2026-11-29T00:00:00"/>
    <n v="932"/>
    <n v="180"/>
    <x v="95"/>
    <x v="0"/>
  </r>
  <r>
    <n v="203"/>
    <s v="Macroeconomics"/>
    <s v="Mann"/>
    <x v="7"/>
    <s v="978-3-16-148512"/>
    <n v="579"/>
    <x v="4"/>
    <n v="44"/>
    <x v="39"/>
    <n v="10"/>
    <x v="102"/>
    <d v="2026-12-05T00:00:00"/>
    <n v="937"/>
    <n v="160"/>
    <x v="96"/>
    <x v="2"/>
  </r>
  <r>
    <n v="204"/>
    <s v="Business Economics"/>
    <s v="Paul Samuelson"/>
    <x v="7"/>
    <s v="978-3-16-148513"/>
    <n v="692"/>
    <x v="4"/>
    <n v="43"/>
    <x v="16"/>
    <n v="16"/>
    <x v="103"/>
    <d v="2026-12-18T00:00:00"/>
    <n v="949"/>
    <n v="140"/>
    <x v="97"/>
    <x v="3"/>
  </r>
  <r>
    <n v="205"/>
    <s v="Managerial Economics"/>
    <s v="N. Gregory Mankiw"/>
    <x v="7"/>
    <s v="978-3-16-148514"/>
    <n v="240"/>
    <x v="4"/>
    <n v="42"/>
    <x v="39"/>
    <n v="8"/>
    <x v="104"/>
    <d v="2026-12-30T00:00:00"/>
    <n v="960"/>
    <n v="120"/>
    <x v="98"/>
    <x v="1"/>
  </r>
  <r>
    <n v="206"/>
    <s v="Business Studies"/>
    <s v="Rudiger Dornbusch"/>
    <x v="8"/>
    <s v="978-3-16-148515"/>
    <n v="356"/>
    <x v="3"/>
    <n v="41"/>
    <x v="12"/>
    <n v="17"/>
    <x v="105"/>
    <d v="2027-01-04T00:00:00"/>
    <n v="964"/>
    <n v="100"/>
    <x v="99"/>
    <x v="1"/>
  </r>
  <r>
    <n v="207"/>
    <s v="Principles of Management"/>
    <s v="Mishra Puri"/>
    <x v="8"/>
    <s v="978-3-16-148516"/>
    <n v="214"/>
    <x v="1"/>
    <n v="40"/>
    <x v="39"/>
    <n v="6"/>
    <x v="106"/>
    <d v="2027-01-16T00:00:00"/>
    <n v="975"/>
    <n v="800"/>
    <x v="100"/>
    <x v="0"/>
  </r>
  <r>
    <n v="208"/>
    <s v="Human Resource Management"/>
    <s v="H. L. Ahuja"/>
    <x v="8"/>
    <s v="978-3-16-148517"/>
    <n v="264"/>
    <x v="2"/>
    <n v="39"/>
    <x v="19"/>
    <n v="13"/>
    <x v="107"/>
    <d v="2027-01-28T00:00:00"/>
    <n v="986"/>
    <n v="600"/>
    <x v="101"/>
    <x v="1"/>
  </r>
  <r>
    <n v="209"/>
    <s v="Financial Management"/>
    <s v="P. C. Tulsian"/>
    <x v="8"/>
    <s v="978-3-16-148518"/>
    <n v="720"/>
    <x v="0"/>
    <n v="38"/>
    <x v="0"/>
    <n v="15"/>
    <x v="108"/>
    <d v="2027-02-05T00:00:00"/>
    <n v="993"/>
    <n v="400"/>
    <x v="102"/>
    <x v="1"/>
  </r>
  <r>
    <n v="210"/>
    <s v="Marketing Management"/>
    <s v="Jawaharlal"/>
    <x v="8"/>
    <s v="978-3-16-148519"/>
    <n v="543"/>
    <x v="2"/>
    <n v="37"/>
    <x v="17"/>
    <n v="17"/>
    <x v="109"/>
    <d v="2027-02-17T00:00:00"/>
    <n v="1004"/>
    <n v="200"/>
    <x v="103"/>
    <x v="1"/>
  </r>
  <r>
    <n v="211"/>
    <s v="Accounting Principles"/>
    <s v="Ravinder Kumar"/>
    <x v="8"/>
    <s v="978-3-16-148520"/>
    <n v="328"/>
    <x v="0"/>
    <n v="36"/>
    <x v="6"/>
    <n v="21"/>
    <x v="110"/>
    <d v="2027-02-27T00:00:00"/>
    <n v="1013"/>
    <n v="530"/>
    <x v="104"/>
    <x v="0"/>
  </r>
  <r>
    <n v="212"/>
    <s v="Cost Accounting"/>
    <s v="Kapil Gupta"/>
    <x v="8"/>
    <s v="978-3-16-148521"/>
    <n v="847"/>
    <x v="2"/>
    <n v="35"/>
    <x v="20"/>
    <n v="17"/>
    <x v="111"/>
    <d v="2027-03-04T00:00:00"/>
    <n v="1017"/>
    <n v="120"/>
    <x v="105"/>
    <x v="2"/>
  </r>
  <r>
    <n v="213"/>
    <s v="Corporate Accounting"/>
    <s v="K. C. Garg"/>
    <x v="8"/>
    <s v="978-3-16-148522"/>
    <n v="671"/>
    <x v="1"/>
    <n v="34"/>
    <x v="38"/>
    <n v="17"/>
    <x v="112"/>
    <d v="2027-03-16T00:00:00"/>
    <n v="1028"/>
    <n v="140"/>
    <x v="106"/>
    <x v="3"/>
  </r>
  <r>
    <n v="214"/>
    <s v="Auditing"/>
    <s v="M. C. Kuchhal"/>
    <x v="8"/>
    <s v="978-3-16-148523"/>
    <n v="262"/>
    <x v="0"/>
    <n v="33"/>
    <x v="20"/>
    <n v="15"/>
    <x v="113"/>
    <d v="2027-03-28T00:00:00"/>
    <n v="1039"/>
    <n v="160"/>
    <x v="107"/>
    <x v="1"/>
  </r>
  <r>
    <n v="215"/>
    <s v="Taxation"/>
    <s v="C. L. Bansal"/>
    <x v="8"/>
    <s v="978-3-16-148524"/>
    <n v="338"/>
    <x v="3"/>
    <n v="32"/>
    <x v="16"/>
    <n v="5"/>
    <x v="114"/>
    <d v="2027-04-03T00:00:00"/>
    <n v="1044"/>
    <n v="180"/>
    <x v="108"/>
    <x v="2"/>
  </r>
  <r>
    <n v="216"/>
    <s v="Business Law"/>
    <s v="S. K. Aggarwal"/>
    <x v="8"/>
    <s v="978-3-16-148525"/>
    <n v="698"/>
    <x v="2"/>
    <n v="31"/>
    <x v="0"/>
    <n v="8"/>
    <x v="115"/>
    <d v="2027-04-15T00:00:00"/>
    <n v="1055"/>
    <n v="200"/>
    <x v="109"/>
    <x v="1"/>
  </r>
  <r>
    <n v="217"/>
    <s v="Company Law"/>
    <s v="Philip Kotler"/>
    <x v="8"/>
    <s v="978-3-16-148526"/>
    <n v="792"/>
    <x v="2"/>
    <n v="30"/>
    <x v="12"/>
    <n v="6"/>
    <x v="116"/>
    <d v="2027-04-29T00:00:00"/>
    <n v="1068"/>
    <n v="220"/>
    <x v="110"/>
    <x v="1"/>
  </r>
  <r>
    <n v="218"/>
    <s v="Banking and Insurance"/>
    <s v="Koontz Weihrich"/>
    <x v="8"/>
    <s v="978-3-16-148527"/>
    <n v="591"/>
    <x v="0"/>
    <n v="29"/>
    <x v="0"/>
    <n v="6"/>
    <x v="117"/>
    <d v="2027-05-04T00:00:00"/>
    <n v="1072"/>
    <n v="240"/>
    <x v="111"/>
    <x v="1"/>
  </r>
  <r>
    <n v="219"/>
    <s v="Entrepreneurship Development"/>
    <s v="Gary Dessler"/>
    <x v="8"/>
    <s v="978-3-16-148528"/>
    <n v="874"/>
    <x v="3"/>
    <n v="28"/>
    <x v="12"/>
    <n v="4"/>
    <x v="118"/>
    <d v="2027-05-18T00:00:00"/>
    <n v="1085"/>
    <n v="260"/>
    <x v="112"/>
    <x v="1"/>
  </r>
  <r>
    <n v="220"/>
    <s v="International Business"/>
    <s v="Prasanna Chandra"/>
    <x v="8"/>
    <s v="978-3-16-148529"/>
    <n v="618"/>
    <x v="3"/>
    <n v="27"/>
    <x v="20"/>
    <n v="9"/>
    <x v="119"/>
    <d v="2027-05-30T00:00:00"/>
    <n v="1096"/>
    <n v="280"/>
    <x v="113"/>
    <x v="2"/>
  </r>
  <r>
    <n v="221"/>
    <s v="Statistics for Business"/>
    <s v="V. S. Ramaswamy"/>
    <x v="8"/>
    <s v="978-3-16-148530"/>
    <n v="488"/>
    <x v="1"/>
    <n v="26"/>
    <x v="24"/>
    <n v="10"/>
    <x v="120"/>
    <d v="2027-06-02T00:00:00"/>
    <n v="1098"/>
    <n v="300"/>
    <x v="114"/>
    <x v="1"/>
  </r>
  <r>
    <n v="222"/>
    <s v="Operations Management"/>
    <s v="Charles Horngren"/>
    <x v="8"/>
    <s v="978-3-16-148531"/>
    <n v="578"/>
    <x v="3"/>
    <n v="25"/>
    <x v="20"/>
    <n v="7"/>
    <x v="121"/>
    <d v="2027-06-16T00:00:00"/>
    <n v="1111"/>
    <n v="320"/>
    <x v="115"/>
    <x v="0"/>
  </r>
  <r>
    <n v="223"/>
    <s v="Supply Chain Management"/>
    <s v="Jawaharlal Nehru"/>
    <x v="8"/>
    <s v="978-3-16-148532"/>
    <n v="972"/>
    <x v="3"/>
    <n v="24"/>
    <x v="38"/>
    <n v="7"/>
    <x v="122"/>
    <d v="2027-06-28T00:00:00"/>
    <n v="1122"/>
    <n v="340"/>
    <x v="116"/>
    <x v="1"/>
  </r>
  <r>
    <n v="224"/>
    <s v="Project Management"/>
    <s v="Maheshwari"/>
    <x v="8"/>
    <s v="978-3-16-148533"/>
    <n v="689"/>
    <x v="3"/>
    <n v="23"/>
    <x v="23"/>
    <n v="9"/>
    <x v="123"/>
    <d v="2027-07-03T00:00:00"/>
    <n v="1126"/>
    <n v="360"/>
    <x v="117"/>
    <x v="1"/>
  </r>
  <r>
    <n v="225"/>
    <s v="Strategic Management"/>
    <s v="S. P. Jain"/>
    <x v="8"/>
    <s v="978-3-16-148534"/>
    <n v="430"/>
    <x v="4"/>
    <n v="22"/>
    <x v="6"/>
    <n v="7"/>
    <x v="124"/>
    <d v="2027-07-17T00:00:00"/>
    <n v="1139"/>
    <n v="380"/>
    <x v="118"/>
    <x v="1"/>
  </r>
  <r>
    <n v="226"/>
    <s v="Organizational Behavior"/>
    <s v="Drury"/>
    <x v="9"/>
    <s v="978-3-16-148535"/>
    <n v="240"/>
    <x v="1"/>
    <n v="21"/>
    <x v="24"/>
    <n v="5"/>
    <x v="125"/>
    <d v="2027-07-30T00:00:00"/>
    <n v="1151"/>
    <n v="400"/>
    <x v="119"/>
    <x v="1"/>
  </r>
  <r>
    <n v="227"/>
    <s v="E-Commerce"/>
    <s v="Singhania"/>
    <x v="9"/>
    <s v="978-3-16-148536"/>
    <n v="227"/>
    <x v="2"/>
    <n v="20"/>
    <x v="38"/>
    <n v="3"/>
    <x v="126"/>
    <d v="2027-08-04T00:00:00"/>
    <n v="1155"/>
    <n v="420"/>
    <x v="120"/>
    <x v="1"/>
  </r>
  <r>
    <n v="228"/>
    <s v="Digital Marketing"/>
    <s v="B. M. Lall"/>
    <x v="9"/>
    <s v="978-3-16-148537"/>
    <n v="334"/>
    <x v="0"/>
    <n v="19"/>
    <x v="30"/>
    <n v="17"/>
    <x v="127"/>
    <d v="2027-08-18T00:00:00"/>
    <n v="1168"/>
    <n v="440"/>
    <x v="121"/>
    <x v="1"/>
  </r>
  <r>
    <n v="229"/>
    <s v="Business Analytics"/>
    <s v="Avtar Singh"/>
    <x v="9"/>
    <s v="978-3-16-148538"/>
    <n v="400"/>
    <x v="2"/>
    <n v="18"/>
    <x v="38"/>
    <n v="1"/>
    <x v="128"/>
    <d v="2027-08-29T00:00:00"/>
    <n v="1178"/>
    <n v="460"/>
    <x v="122"/>
    <x v="2"/>
  </r>
  <r>
    <n v="230"/>
    <s v="Investment Analysis"/>
    <s v="Ramaiya"/>
    <x v="9"/>
    <s v="978-3-16-148539"/>
    <n v="979"/>
    <x v="1"/>
    <n v="17"/>
    <x v="31"/>
    <n v="16"/>
    <x v="129"/>
    <d v="2027-09-05T00:00:00"/>
    <n v="1184"/>
    <n v="480"/>
    <x v="123"/>
    <x v="1"/>
  </r>
  <r>
    <n v="231"/>
    <s v="English Grammar"/>
    <s v="K. V. Kamath"/>
    <x v="9"/>
    <s v="978-3-16-148540"/>
    <n v="232"/>
    <x v="0"/>
    <n v="16"/>
    <x v="31"/>
    <n v="15"/>
    <x v="130"/>
    <d v="2027-09-17T00:00:00"/>
    <n v="1195"/>
    <n v="100"/>
    <x v="124"/>
    <x v="2"/>
  </r>
  <r>
    <n v="232"/>
    <s v="English Literature"/>
    <s v="Vasant Desai"/>
    <x v="9"/>
    <s v="978-3-16-148541"/>
    <n v="247"/>
    <x v="1"/>
    <n v="15"/>
    <x v="30"/>
    <n v="13"/>
    <x v="131"/>
    <d v="2027-09-30T00:00:00"/>
    <n v="1207"/>
    <n v="120"/>
    <x v="125"/>
    <x v="2"/>
  </r>
  <r>
    <n v="233"/>
    <s v="Technical English"/>
    <s v="Charles Hill"/>
    <x v="9"/>
    <s v="978-3-16-148542"/>
    <n v="702"/>
    <x v="3"/>
    <n v="14"/>
    <x v="29"/>
    <n v="11"/>
    <x v="132"/>
    <d v="2027-10-03T00:00:00"/>
    <n v="1209"/>
    <n v="140"/>
    <x v="126"/>
    <x v="2"/>
  </r>
  <r>
    <n v="234"/>
    <s v="Communication Skills"/>
    <s v="J. K. Galbraith"/>
    <x v="9"/>
    <s v="978-3-16-148543"/>
    <n v="606"/>
    <x v="0"/>
    <n v="13"/>
    <x v="27"/>
    <n v="9"/>
    <x v="133"/>
    <d v="2027-10-16T00:00:00"/>
    <n v="1221"/>
    <n v="160"/>
    <x v="127"/>
    <x v="2"/>
  </r>
  <r>
    <n v="235"/>
    <s v="Professional Writing"/>
    <s v="Stevenson"/>
    <x v="9"/>
    <s v="978-3-16-148544"/>
    <n v="773"/>
    <x v="3"/>
    <n v="12"/>
    <x v="28"/>
    <n v="7"/>
    <x v="134"/>
    <d v="2027-10-28T00:00:00"/>
    <n v="1232"/>
    <n v="180"/>
    <x v="128"/>
    <x v="1"/>
  </r>
  <r>
    <n v="236"/>
    <s v="Creative Writing"/>
    <s v="Heizer Render"/>
    <x v="10"/>
    <s v="978-3-16-148545"/>
    <n v="927"/>
    <x v="2"/>
    <n v="11"/>
    <x v="25"/>
    <n v="5"/>
    <x v="135"/>
    <d v="2027-11-04T00:00:00"/>
    <n v="1238"/>
    <n v="200"/>
    <x v="129"/>
    <x v="1"/>
  </r>
  <r>
    <n v="237"/>
    <s v="Indian Literature"/>
    <s v="Jacobs Chase"/>
    <x v="10"/>
    <s v="978-3-16-148546"/>
    <n v="298"/>
    <x v="2"/>
    <n v="10"/>
    <x v="22"/>
    <n v="3"/>
    <x v="136"/>
    <d v="2027-11-17T00:00:00"/>
    <n v="1250"/>
    <n v="220"/>
    <x v="130"/>
    <x v="1"/>
  </r>
  <r>
    <n v="238"/>
    <s v="World Literature"/>
    <s v="Kerzner"/>
    <x v="10"/>
    <s v="978-3-16-148547"/>
    <n v="883"/>
    <x v="0"/>
    <n v="9"/>
    <x v="26"/>
    <n v="1"/>
    <x v="137"/>
    <d v="2027-11-29T00:00:00"/>
    <n v="1261"/>
    <n v="240"/>
    <x v="131"/>
    <x v="2"/>
  </r>
  <r>
    <n v="239"/>
    <s v="Poetry Analysis"/>
    <s v="Fred David"/>
    <x v="10"/>
    <s v="978-3-16-148548"/>
    <n v="925"/>
    <x v="0"/>
    <n v="9"/>
    <x v="26"/>
    <n v="1"/>
    <x v="138"/>
    <d v="2027-12-05T00:00:00"/>
    <n v="1266"/>
    <n v="260"/>
    <x v="132"/>
    <x v="0"/>
  </r>
  <r>
    <n v="240"/>
    <s v="Drama Studies"/>
    <s v="Stephen Robbins"/>
    <x v="10"/>
    <s v="978-3-16-148549"/>
    <n v="746"/>
    <x v="1"/>
    <n v="10"/>
    <x v="22"/>
    <n v="3"/>
    <x v="139"/>
    <d v="2027-12-18T00:00:00"/>
    <n v="1278"/>
    <n v="280"/>
    <x v="133"/>
    <x v="1"/>
  </r>
  <r>
    <n v="241"/>
    <s v="History of India"/>
    <s v="Laudon Traver"/>
    <x v="10"/>
    <s v="978-3-16-148550"/>
    <n v="938"/>
    <x v="1"/>
    <n v="11"/>
    <x v="25"/>
    <n v="5"/>
    <x v="140"/>
    <d v="2027-12-30T00:00:00"/>
    <n v="1289"/>
    <n v="300"/>
    <x v="134"/>
    <x v="1"/>
  </r>
  <r>
    <n v="242"/>
    <s v="World History"/>
    <s v="Ryan Deiss"/>
    <x v="10"/>
    <s v="978-3-16-148551"/>
    <n v="812"/>
    <x v="3"/>
    <n v="12"/>
    <x v="28"/>
    <n v="7"/>
    <x v="141"/>
    <d v="2028-01-04T00:00:00"/>
    <n v="1293"/>
    <n v="320"/>
    <x v="135"/>
    <x v="0"/>
  </r>
  <r>
    <n v="243"/>
    <s v="Ancient Civilizations"/>
    <s v="Albright Winston"/>
    <x v="10"/>
    <s v="978-3-16-148552"/>
    <n v="661"/>
    <x v="0"/>
    <n v="13"/>
    <x v="27"/>
    <n v="9"/>
    <x v="142"/>
    <d v="2028-01-16T00:00:00"/>
    <n v="1304"/>
    <n v="340"/>
    <x v="136"/>
    <x v="3"/>
  </r>
  <r>
    <n v="244"/>
    <s v="Medieval History"/>
    <s v="Graham Dodd"/>
    <x v="10"/>
    <s v="978-3-16-148553"/>
    <n v="842"/>
    <x v="2"/>
    <n v="14"/>
    <x v="29"/>
    <n v="11"/>
    <x v="143"/>
    <d v="2028-01-28T00:00:00"/>
    <n v="1315"/>
    <n v="360"/>
    <x v="137"/>
    <x v="2"/>
  </r>
  <r>
    <n v="245"/>
    <s v="Modern History"/>
    <s v="Wren Martin"/>
    <x v="10"/>
    <s v="978-3-16-148554"/>
    <n v="968"/>
    <x v="1"/>
    <n v="15"/>
    <x v="30"/>
    <n v="13"/>
    <x v="144"/>
    <d v="2028-02-05T00:00:00"/>
    <n v="1322"/>
    <n v="380"/>
    <x v="138"/>
    <x v="1"/>
  </r>
  <r>
    <n v="246"/>
    <s v="Political Science"/>
    <s v="M. H. Abrams"/>
    <x v="11"/>
    <s v="978-3-16-148555"/>
    <n v="204"/>
    <x v="1"/>
    <n v="16"/>
    <x v="31"/>
    <n v="15"/>
    <x v="145"/>
    <d v="2028-02-17T00:00:00"/>
    <n v="1333"/>
    <n v="400"/>
    <x v="139"/>
    <x v="0"/>
  </r>
  <r>
    <n v="247"/>
    <s v="Indian Constitution"/>
    <s v="Leslie Stephen"/>
    <x v="11"/>
    <s v="978-3-16-148556"/>
    <n v="417"/>
    <x v="2"/>
    <n v="49"/>
    <x v="39"/>
    <n v="15"/>
    <x v="146"/>
    <d v="2028-02-29T00:00:00"/>
    <n v="1344"/>
    <n v="420"/>
    <x v="140"/>
    <x v="1"/>
  </r>
  <r>
    <n v="248"/>
    <s v="Public Administration"/>
    <s v="Michael Swan"/>
    <x v="11"/>
    <s v="978-3-16-148557"/>
    <n v="702"/>
    <x v="1"/>
    <n v="48"/>
    <x v="35"/>
    <n v="7"/>
    <x v="147"/>
    <d v="2028-03-04T00:00:00"/>
    <n v="1347"/>
    <n v="440"/>
    <x v="11"/>
    <x v="2"/>
  </r>
  <r>
    <n v="249"/>
    <s v="International Relations"/>
    <s v="Alison Ross"/>
    <x v="11"/>
    <s v="978-3-16-148558"/>
    <n v="966"/>
    <x v="3"/>
    <n v="47"/>
    <x v="37"/>
    <n v="15"/>
    <x v="148"/>
    <d v="2028-03-16T00:00:00"/>
    <n v="1358"/>
    <n v="460"/>
    <x v="141"/>
    <x v="1"/>
  </r>
  <r>
    <n v="250"/>
    <s v="Sociology"/>
    <s v="R. K. Narayan"/>
    <x v="11"/>
    <s v="978-3-16-148559"/>
    <n v="597"/>
    <x v="0"/>
    <n v="46"/>
    <x v="14"/>
    <n v="11"/>
    <x v="149"/>
    <d v="2028-03-28T00:00:00"/>
    <n v="1369"/>
    <n v="480"/>
    <x v="142"/>
    <x v="0"/>
  </r>
  <r>
    <n v="251"/>
    <s v="Social Psychology"/>
    <s v="Harold Bloom"/>
    <x v="12"/>
    <s v="978-3-16-148560"/>
    <n v="994"/>
    <x v="2"/>
    <n v="45"/>
    <x v="9"/>
    <n v="15"/>
    <x v="150"/>
    <d v="2028-04-03T00:00:00"/>
    <n v="1374"/>
    <n v="800"/>
    <x v="143"/>
    <x v="1"/>
  </r>
  <r>
    <n v="252"/>
    <s v="Philosophy"/>
    <s v="Cleanth Brooks"/>
    <x v="12"/>
    <s v="978-3-16-148561"/>
    <n v="592"/>
    <x v="0"/>
    <n v="44"/>
    <x v="2"/>
    <n v="19"/>
    <x v="151"/>
    <d v="2028-04-15T00:00:00"/>
    <n v="1385"/>
    <n v="100"/>
    <x v="144"/>
    <x v="1"/>
  </r>
  <r>
    <n v="253"/>
    <s v="Logic and Reasoning"/>
    <s v="Francis Ferguson"/>
    <x v="12"/>
    <s v="978-3-16-148562"/>
    <n v="406"/>
    <x v="1"/>
    <n v="43"/>
    <x v="4"/>
    <n v="15"/>
    <x v="152"/>
    <d v="2028-04-29T00:00:00"/>
    <n v="1398"/>
    <n v="120"/>
    <x v="145"/>
    <x v="0"/>
  </r>
  <r>
    <n v="254"/>
    <s v="Ethics and Values"/>
    <s v="Bipin Chandra"/>
    <x v="12"/>
    <s v="978-3-16-148563"/>
    <n v="214"/>
    <x v="1"/>
    <n v="42"/>
    <x v="16"/>
    <n v="15"/>
    <x v="153"/>
    <d v="2028-05-04T00:00:00"/>
    <n v="1402"/>
    <n v="140"/>
    <x v="146"/>
    <x v="2"/>
  </r>
  <r>
    <n v="255"/>
    <s v="Education Psychology"/>
    <s v="Norman Davies"/>
    <x v="12"/>
    <s v="978-3-16-148564"/>
    <n v="753"/>
    <x v="2"/>
    <n v="41"/>
    <x v="14"/>
    <n v="6"/>
    <x v="154"/>
    <d v="2028-05-18T00:00:00"/>
    <n v="1415"/>
    <n v="160"/>
    <x v="147"/>
    <x v="2"/>
  </r>
  <r>
    <n v="256"/>
    <s v="Teaching Methodologies"/>
    <s v="Jacques Gernet"/>
    <x v="13"/>
    <s v="978-3-16-148565"/>
    <n v="660"/>
    <x v="3"/>
    <n v="40"/>
    <x v="2"/>
    <n v="15"/>
    <x v="155"/>
    <d v="2028-05-30T00:00:00"/>
    <n v="1426"/>
    <n v="180"/>
    <x v="148"/>
    <x v="1"/>
  </r>
  <r>
    <n v="257"/>
    <s v="Pedagogy Studies"/>
    <s v="Satish Chandra"/>
    <x v="13"/>
    <s v="978-3-16-148566"/>
    <n v="890"/>
    <x v="4"/>
    <n v="39"/>
    <x v="12"/>
    <n v="15"/>
    <x v="156"/>
    <d v="2028-06-02T00:00:00"/>
    <n v="1428"/>
    <n v="200"/>
    <x v="149"/>
    <x v="0"/>
  </r>
  <r>
    <n v="258"/>
    <s v="Curriculum Design"/>
    <s v="B. L. Grover"/>
    <x v="14"/>
    <s v="978-3-16-148567"/>
    <n v="774"/>
    <x v="2"/>
    <n v="38"/>
    <x v="39"/>
    <n v="4"/>
    <x v="157"/>
    <d v="2028-06-16T00:00:00"/>
    <n v="1441"/>
    <n v="220"/>
    <x v="150"/>
    <x v="1"/>
  </r>
  <r>
    <n v="259"/>
    <s v="Educational Technology"/>
    <s v="Andrew Heywood"/>
    <x v="14"/>
    <s v="978-3-16-148568"/>
    <n v="942"/>
    <x v="4"/>
    <n v="37"/>
    <x v="10"/>
    <n v="15"/>
    <x v="158"/>
    <d v="2028-06-28T00:00:00"/>
    <n v="1452"/>
    <n v="240"/>
    <x v="151"/>
    <x v="1"/>
  </r>
  <r>
    <n v="260"/>
    <s v="Guidance and Counseling"/>
    <s v="M. Laxmikanth"/>
    <x v="14"/>
    <s v="978-3-16-148569"/>
    <n v="440"/>
    <x v="4"/>
    <n v="36"/>
    <x v="12"/>
    <n v="12"/>
    <x v="159"/>
    <d v="2028-07-03T00:00:00"/>
    <n v="1456"/>
    <n v="260"/>
    <x v="152"/>
    <x v="1"/>
  </r>
  <r>
    <n v="261"/>
    <s v="Law of Contracts"/>
    <s v="Prasad Sharma"/>
    <x v="15"/>
    <s v="978-3-16-148570"/>
    <n v="763"/>
    <x v="3"/>
    <n v="35"/>
    <x v="17"/>
    <n v="15"/>
    <x v="160"/>
    <d v="2028-07-17T00:00:00"/>
    <n v="1469"/>
    <n v="280"/>
    <x v="153"/>
    <x v="1"/>
  </r>
  <r>
    <n v="262"/>
    <s v="Criminal Law"/>
    <s v="Joshua Goldstein"/>
    <x v="15"/>
    <s v="978-3-16-148571"/>
    <n v="295"/>
    <x v="4"/>
    <n v="34"/>
    <x v="1"/>
    <n v="15"/>
    <x v="161"/>
    <d v="2028-07-30T00:00:00"/>
    <n v="1481"/>
    <n v="300"/>
    <x v="76"/>
    <x v="1"/>
  </r>
  <r>
    <n v="263"/>
    <s v="Constitutional Law"/>
    <s v="Anthony Giddens"/>
    <x v="15"/>
    <s v="978-3-16-148572"/>
    <n v="933"/>
    <x v="4"/>
    <n v="33"/>
    <x v="20"/>
    <n v="15"/>
    <x v="162"/>
    <d v="2028-08-04T00:00:00"/>
    <n v="1485"/>
    <n v="320"/>
    <x v="154"/>
    <x v="0"/>
  </r>
  <r>
    <n v="264"/>
    <s v="Civil Law"/>
    <s v="David Myers"/>
    <x v="15"/>
    <s v="978-3-16-148573"/>
    <n v="684"/>
    <x v="3"/>
    <n v="32"/>
    <x v="10"/>
    <n v="10"/>
    <x v="163"/>
    <d v="2028-08-18T00:00:00"/>
    <n v="1498"/>
    <n v="340"/>
    <x v="155"/>
    <x v="1"/>
  </r>
  <r>
    <n v="265"/>
    <s v="Intellectual Property Rights"/>
    <s v="Bertrand Russell"/>
    <x v="15"/>
    <s v="978-3-16-148574"/>
    <n v="606"/>
    <x v="4"/>
    <n v="31"/>
    <x v="24"/>
    <n v="15"/>
    <x v="164"/>
    <d v="2028-08-29T00:00:00"/>
    <n v="1508"/>
    <n v="360"/>
    <x v="156"/>
    <x v="1"/>
  </r>
  <r>
    <n v="266"/>
    <s v="Cyber Law"/>
    <s v="Irving Copi"/>
    <x v="16"/>
    <s v="978-3-16-148575"/>
    <n v="430"/>
    <x v="4"/>
    <n v="30"/>
    <x v="20"/>
    <n v="12"/>
    <x v="165"/>
    <d v="2028-09-05T00:00:00"/>
    <n v="1514"/>
    <n v="380"/>
    <x v="157"/>
    <x v="1"/>
  </r>
  <r>
    <n v="267"/>
    <s v="Human Rights"/>
    <s v="Alasdair MacIntyre"/>
    <x v="16"/>
    <s v="978-3-16-148576"/>
    <n v="948"/>
    <x v="4"/>
    <n v="29"/>
    <x v="23"/>
    <n v="15"/>
    <x v="166"/>
    <d v="2028-09-17T00:00:00"/>
    <n v="1525"/>
    <n v="400"/>
    <x v="158"/>
    <x v="1"/>
  </r>
  <r>
    <n v="268"/>
    <s v="Environmental Law"/>
    <s v="Anita Woolfolk"/>
    <x v="16"/>
    <s v="978-3-16-148577"/>
    <n v="854"/>
    <x v="2"/>
    <n v="28"/>
    <x v="10"/>
    <n v="6"/>
    <x v="167"/>
    <d v="2028-09-30T00:00:00"/>
    <n v="1537"/>
    <n v="420"/>
    <x v="159"/>
    <x v="1"/>
  </r>
  <r>
    <n v="269"/>
    <s v="International Law"/>
    <s v="V. K. Rao"/>
    <x v="16"/>
    <s v="978-3-16-148578"/>
    <n v="370"/>
    <x v="2"/>
    <n v="27"/>
    <x v="3"/>
    <n v="15"/>
    <x v="168"/>
    <d v="2028-10-03T00:00:00"/>
    <n v="1539"/>
    <n v="440"/>
    <x v="160"/>
    <x v="1"/>
  </r>
  <r>
    <n v="270"/>
    <s v="Arbitration and Mediation"/>
    <s v="Sharma Gupta"/>
    <x v="16"/>
    <s v="978-3-16-148579"/>
    <n v="740"/>
    <x v="2"/>
    <n v="26"/>
    <x v="22"/>
    <n v="19"/>
    <x v="169"/>
    <d v="2028-10-16T00:00:00"/>
    <n v="1551"/>
    <n v="460"/>
    <x v="86"/>
    <x v="1"/>
  </r>
  <r>
    <n v="271"/>
    <s v="General Knowledge"/>
    <s v="Tyler"/>
    <x v="16"/>
    <s v="978-3-16-148580"/>
    <n v="235"/>
    <x v="3"/>
    <n v="25"/>
    <x v="11"/>
    <n v="15"/>
    <x v="170"/>
    <d v="2028-10-28T00:00:00"/>
    <n v="1562"/>
    <n v="480"/>
    <x v="161"/>
    <x v="2"/>
  </r>
  <r>
    <n v="272"/>
    <s v="Current Affairs"/>
    <s v="V. P. Singh"/>
    <x v="16"/>
    <s v="978-3-16-148581"/>
    <n v="724"/>
    <x v="1"/>
    <n v="24"/>
    <x v="27"/>
    <n v="20"/>
    <x v="171"/>
    <d v="2028-11-04T00:00:00"/>
    <n v="1568"/>
    <n v="600"/>
    <x v="162"/>
    <x v="2"/>
  </r>
  <r>
    <n v="273"/>
    <s v="Competitive Exam Guide"/>
    <s v="George Siemens"/>
    <x v="16"/>
    <s v="978-3-16-148582"/>
    <n v="359"/>
    <x v="4"/>
    <n v="23"/>
    <x v="26"/>
    <n v="15"/>
    <x v="172"/>
    <d v="2028-11-17T00:00:00"/>
    <n v="1580"/>
    <n v="800"/>
    <x v="163"/>
    <x v="1"/>
  </r>
  <r>
    <n v="274"/>
    <s v="Aptitude Reasoning"/>
    <s v="K. V. Rao"/>
    <x v="16"/>
    <s v="978-3-16-148583"/>
    <n v="898"/>
    <x v="4"/>
    <n v="22"/>
    <x v="21"/>
    <n v="9"/>
    <x v="173"/>
    <d v="2028-11-29T00:00:00"/>
    <n v="1591"/>
    <n v="100"/>
    <x v="164"/>
    <x v="1"/>
  </r>
  <r>
    <n v="275"/>
    <s v="Quantitative Aptitude"/>
    <s v="H. M. Saxena"/>
    <x v="16"/>
    <s v="978-3-16-148584"/>
    <n v="442"/>
    <x v="3"/>
    <n v="21"/>
    <x v="25"/>
    <n v="15"/>
    <x v="174"/>
    <d v="2028-12-05T00:00:00"/>
    <n v="1213"/>
    <n v="120"/>
    <x v="165"/>
    <x v="1"/>
  </r>
  <r>
    <n v="276"/>
    <s v="Logical Reasoning"/>
    <s v="Avtar Singh"/>
    <x v="17"/>
    <s v="978-3-16-148585"/>
    <n v="285"/>
    <x v="4"/>
    <n v="20"/>
    <x v="25"/>
    <n v="14"/>
    <x v="175"/>
    <d v="2028-12-18T00:00:00"/>
    <n v="1227"/>
    <n v="140"/>
    <x v="166"/>
    <x v="1"/>
  </r>
  <r>
    <n v="277"/>
    <s v="Verbal Ability"/>
    <s v="Ratanlal Dhirajlal"/>
    <x v="17"/>
    <s v="978-3-16-148586"/>
    <n v="995"/>
    <x v="2"/>
    <n v="19"/>
    <x v="22"/>
    <n v="12"/>
    <x v="176"/>
    <d v="2028-12-30T00:00:00"/>
    <n v="1240"/>
    <n v="160"/>
    <x v="116"/>
    <x v="1"/>
  </r>
  <r>
    <n v="278"/>
    <s v="General Science"/>
    <s v="P. S. A. Pillai"/>
    <x v="17"/>
    <s v="978-3-16-148587"/>
    <n v="777"/>
    <x v="1"/>
    <n v="18"/>
    <x v="29"/>
    <n v="15"/>
    <x v="177"/>
    <d v="2025-08-21T00:00:00"/>
    <n v="14"/>
    <n v="180"/>
    <x v="135"/>
    <x v="2"/>
  </r>
  <r>
    <n v="279"/>
    <s v="Computer Awareness"/>
    <s v="M. P. Jain"/>
    <x v="17"/>
    <s v="978-3-16-148588"/>
    <n v="881"/>
    <x v="0"/>
    <n v="17"/>
    <x v="5"/>
    <n v="8"/>
    <x v="178"/>
    <d v="2025-08-24T00:00:00"/>
    <n v="18"/>
    <n v="200"/>
    <x v="38"/>
    <x v="0"/>
  </r>
  <r>
    <n v="280"/>
    <s v="Interview Skills"/>
    <s v="Justice Verma"/>
    <x v="17"/>
    <s v="978-3-16-148589"/>
    <n v="756"/>
    <x v="4"/>
    <n v="16"/>
    <x v="31"/>
    <n v="15"/>
    <x v="179"/>
    <d v="2025-08-16T00:00:00"/>
    <n v="11"/>
    <n v="220"/>
    <x v="167"/>
    <x v="1"/>
  </r>
  <r>
    <n v="281"/>
    <s v="Personality Development"/>
    <s v="Paul Sieghart"/>
    <x v="17"/>
    <s v="978-3-16-148590"/>
    <n v="773"/>
    <x v="2"/>
    <n v="15"/>
    <x v="31"/>
    <n v="14"/>
    <x v="180"/>
    <d v="2025-08-18T00:00:00"/>
    <n v="14"/>
    <n v="240"/>
    <x v="168"/>
    <x v="1"/>
  </r>
  <r>
    <n v="282"/>
    <s v="Leadership Skills"/>
    <s v="Shyam Divan"/>
    <x v="17"/>
    <s v="978-3-16-148591"/>
    <n v="845"/>
    <x v="0"/>
    <n v="14"/>
    <x v="30"/>
    <n v="12"/>
    <x v="181"/>
    <d v="2025-08-24T00:00:00"/>
    <n v="21"/>
    <n v="260"/>
    <x v="169"/>
    <x v="1"/>
  </r>
  <r>
    <n v="283"/>
    <s v="Time Management"/>
    <s v="Malcolm Shaw"/>
    <x v="17"/>
    <s v="978-3-16-148592"/>
    <n v="995"/>
    <x v="1"/>
    <n v="13"/>
    <x v="29"/>
    <n v="10"/>
    <x v="182"/>
    <d v="2025-08-15T00:00:00"/>
    <n v="13"/>
    <n v="280"/>
    <x v="170"/>
    <x v="3"/>
  </r>
  <r>
    <n v="284"/>
    <s v="Stress Management"/>
    <s v="Gary Goodpaster"/>
    <x v="17"/>
    <s v="978-3-16-148593"/>
    <n v="227"/>
    <x v="0"/>
    <n v="12"/>
    <x v="27"/>
    <n v="8"/>
    <x v="183"/>
    <d v="2025-08-22T00:00:00"/>
    <n v="21"/>
    <n v="300"/>
    <x v="171"/>
    <x v="1"/>
  </r>
  <r>
    <n v="285"/>
    <s v="Emotional Intelligence"/>
    <s v="Lucent Publications"/>
    <x v="17"/>
    <s v="978-3-16-148594"/>
    <n v="819"/>
    <x v="2"/>
    <n v="11"/>
    <x v="28"/>
    <n v="6"/>
    <x v="3"/>
    <d v="2024-03-03T00:00:00"/>
    <n v="29"/>
    <n v="320"/>
    <x v="172"/>
    <x v="1"/>
  </r>
  <r>
    <n v="286"/>
    <s v="Critical Thinking"/>
    <s v="Arihant Experts"/>
    <x v="18"/>
    <s v="978-3-16-148595"/>
    <n v="755"/>
    <x v="0"/>
    <n v="10"/>
    <x v="25"/>
    <n v="4"/>
    <x v="4"/>
    <d v="2024-03-15T00:00:00"/>
    <n v="40"/>
    <n v="340"/>
    <x v="173"/>
    <x v="1"/>
  </r>
  <r>
    <n v="287"/>
    <s v="Problem Solving Skills"/>
    <s v="Pearson Editorial"/>
    <x v="18"/>
    <s v="978-3-16-148596"/>
    <n v="539"/>
    <x v="3"/>
    <n v="9"/>
    <x v="22"/>
    <n v="2"/>
    <x v="5"/>
    <d v="2024-03-28T00:00:00"/>
    <n v="52"/>
    <n v="360"/>
    <x v="174"/>
    <x v="2"/>
  </r>
  <r>
    <n v="288"/>
    <s v="Decision Making"/>
    <s v="R. S. Aggarwal"/>
    <x v="18"/>
    <s v="978-3-16-148597"/>
    <n v="997"/>
    <x v="0"/>
    <n v="8"/>
    <x v="26"/>
    <n v="0"/>
    <x v="6"/>
    <d v="2024-04-06T00:00:00"/>
    <n v="60"/>
    <n v="380"/>
    <x v="175"/>
    <x v="2"/>
  </r>
  <r>
    <n v="289"/>
    <s v="Innovation and Creativity"/>
    <s v="Arun Sharma"/>
    <x v="18"/>
    <s v="978-3-16-148598"/>
    <n v="530"/>
    <x v="4"/>
    <n v="11"/>
    <x v="25"/>
    <n v="5"/>
    <x v="7"/>
    <d v="2024-04-19T00:00:00"/>
    <n v="72"/>
    <n v="400"/>
    <x v="176"/>
    <x v="1"/>
  </r>
  <r>
    <n v="290"/>
    <s v="Career Guidance"/>
    <s v="Sarvesh Verma"/>
    <x v="18"/>
    <s v="978-3-16-148599"/>
    <n v="839"/>
    <x v="4"/>
    <n v="10"/>
    <x v="22"/>
    <n v="3"/>
    <x v="8"/>
    <d v="2024-04-30T00:00:00"/>
    <n v="82"/>
    <n v="420"/>
    <x v="177"/>
    <x v="1"/>
  </r>
  <r>
    <n v="291"/>
    <s v="Research Methodology"/>
    <s v="Norman Lewis"/>
    <x v="18"/>
    <s v="978-3-16-148600"/>
    <n v="705"/>
    <x v="3"/>
    <n v="9"/>
    <x v="26"/>
    <n v="1"/>
    <x v="9"/>
    <d v="2024-05-04T00:00:00"/>
    <n v="85"/>
    <n v="440"/>
    <x v="178"/>
    <x v="1"/>
  </r>
  <r>
    <n v="292"/>
    <s v="Statistical Analysis Tools"/>
    <s v="S. Chand Experts"/>
    <x v="18"/>
    <s v="978-3-16-148601"/>
    <n v="547"/>
    <x v="2"/>
    <n v="9"/>
    <x v="27"/>
    <n v="5"/>
    <x v="10"/>
    <d v="2024-05-17T00:00:00"/>
    <n v="97"/>
    <n v="460"/>
    <x v="179"/>
    <x v="2"/>
  </r>
  <r>
    <n v="293"/>
    <s v="SPSS Guide"/>
    <s v="Edgar Dale"/>
    <x v="18"/>
    <s v="978-3-16-148602"/>
    <n v="672"/>
    <x v="4"/>
    <n v="10"/>
    <x v="22"/>
    <n v="3"/>
    <x v="11"/>
    <d v="2024-05-29T00:00:00"/>
    <n v="108"/>
    <n v="480"/>
    <x v="180"/>
    <x v="1"/>
  </r>
  <r>
    <n v="294"/>
    <s v="MATLAB Programming"/>
    <s v="Dale Carnegie"/>
    <x v="18"/>
    <s v="978-3-16-148603"/>
    <n v="430"/>
    <x v="1"/>
    <n v="11"/>
    <x v="25"/>
    <n v="5"/>
    <x v="12"/>
    <d v="2024-06-02T00:00:00"/>
    <n v="111"/>
    <n v="400"/>
    <x v="181"/>
    <x v="1"/>
  </r>
  <r>
    <n v="295"/>
    <s v="R Programming"/>
    <s v="Stephen Covey"/>
    <x v="18"/>
    <s v="978-3-16-148604"/>
    <n v="389"/>
    <x v="4"/>
    <n v="12"/>
    <x v="28"/>
    <n v="7"/>
    <x v="13"/>
    <d v="2024-06-14T00:00:00"/>
    <n v="122"/>
    <n v="600"/>
    <x v="182"/>
    <x v="1"/>
  </r>
  <r>
    <n v="296"/>
    <s v="Data Visualization"/>
    <s v="Brian Tracy"/>
    <x v="19"/>
    <s v="978-3-16-148605"/>
    <n v="424"/>
    <x v="4"/>
    <n v="13"/>
    <x v="27"/>
    <n v="9"/>
    <x v="14"/>
    <d v="2024-06-27T00:00:00"/>
    <n v="134"/>
    <n v="800"/>
    <x v="183"/>
    <x v="1"/>
  </r>
  <r>
    <n v="297"/>
    <s v="Excel for Professionals"/>
    <s v="David Allen"/>
    <x v="19"/>
    <s v="978-3-16-148606"/>
    <n v="584"/>
    <x v="2"/>
    <n v="14"/>
    <x v="29"/>
    <n v="11"/>
    <x v="15"/>
    <d v="2024-07-05T00:00:00"/>
    <n v="141"/>
    <n v="100"/>
    <x v="184"/>
    <x v="1"/>
  </r>
  <r>
    <n v="298"/>
    <s v="Advanced Excel Techniques"/>
    <s v="Daniel Goleman"/>
    <x v="19"/>
    <s v="978-3-16-148607"/>
    <n v="576"/>
    <x v="0"/>
    <n v="15"/>
    <x v="30"/>
    <n v="13"/>
    <x v="16"/>
    <d v="2024-07-18T00:00:00"/>
    <n v="153"/>
    <n v="120"/>
    <x v="185"/>
    <x v="1"/>
  </r>
  <r>
    <n v="299"/>
    <s v="Power BI Essentials"/>
    <s v="Edward de Bono"/>
    <x v="19"/>
    <s v="978-3-16-148608"/>
    <n v="482"/>
    <x v="4"/>
    <n v="23"/>
    <x v="23"/>
    <n v="9"/>
    <x v="17"/>
    <d v="2024-07-31T00:00:00"/>
    <n v="165"/>
    <n v="140"/>
    <x v="18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85475-E625-4159-BBE8-A3DE8530D11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6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1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83"/>
        <item x="182"/>
        <item x="181"/>
        <item x="180"/>
        <item x="179"/>
        <item x="178"/>
        <item x="177"/>
        <item x="176"/>
        <item x="175"/>
        <item x="174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18"/>
    <field x="17"/>
    <field x="16"/>
    <field x="10"/>
  </rowFields>
  <rowItems count="3">
    <i>
      <x v="1"/>
    </i>
    <i>
      <x v="2"/>
    </i>
    <i t="grand">
      <x/>
    </i>
  </rowItems>
  <colItems count="1">
    <i/>
  </colItems>
  <dataFields count="1">
    <dataField name="Sum of Book_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5ABF5-CFBA-40C4-B8B2-BCA6DCEAA6B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9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numFmtId="14" showAll="0">
      <items count="1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83"/>
        <item x="182"/>
        <item x="181"/>
        <item x="180"/>
        <item x="179"/>
        <item x="178"/>
        <item x="177"/>
        <item x="176"/>
        <item x="175"/>
        <item x="174"/>
        <item t="default"/>
      </items>
    </pivotField>
    <pivotField numFmtId="14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Book_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C3BE14-B8F1-4F28-A8D9-0331B9F4CE8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8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83"/>
        <item x="182"/>
        <item x="181"/>
        <item x="180"/>
        <item x="179"/>
        <item x="178"/>
        <item x="177"/>
        <item x="176"/>
        <item x="175"/>
        <item x="174"/>
        <item t="default"/>
      </items>
    </pivotField>
    <pivotField numFmtId="14"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Book_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BC88A7-8A7E-4C14-AA3E-5756A7EDF41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19">
    <pivotField dataField="1" showAll="0"/>
    <pivotField showAll="0"/>
    <pivotField showAll="0"/>
    <pivotField axis="axisRow" showAll="0">
      <items count="21">
        <item x="10"/>
        <item x="4"/>
        <item x="8"/>
        <item x="3"/>
        <item x="9"/>
        <item x="0"/>
        <item x="7"/>
        <item x="15"/>
        <item x="6"/>
        <item x="5"/>
        <item x="17"/>
        <item x="11"/>
        <item x="16"/>
        <item x="1"/>
        <item x="14"/>
        <item x="2"/>
        <item x="12"/>
        <item x="19"/>
        <item x="18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1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83"/>
        <item x="182"/>
        <item x="181"/>
        <item x="180"/>
        <item x="179"/>
        <item x="178"/>
        <item x="177"/>
        <item x="176"/>
        <item x="175"/>
        <item x="174"/>
        <item t="default"/>
      </items>
    </pivotField>
    <pivotField numFmtId="14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Book_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992B8-CDD5-4678-B5F5-1CD99F9BC37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J3:K9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dataField="1" showAll="0">
      <items count="41">
        <item x="31"/>
        <item x="30"/>
        <item x="29"/>
        <item x="27"/>
        <item x="28"/>
        <item x="25"/>
        <item x="22"/>
        <item x="26"/>
        <item x="5"/>
        <item x="11"/>
        <item x="13"/>
        <item x="3"/>
        <item x="21"/>
        <item x="23"/>
        <item x="6"/>
        <item x="24"/>
        <item x="38"/>
        <item x="20"/>
        <item x="1"/>
        <item x="17"/>
        <item x="18"/>
        <item x="10"/>
        <item x="0"/>
        <item x="12"/>
        <item x="2"/>
        <item x="19"/>
        <item x="16"/>
        <item x="4"/>
        <item x="15"/>
        <item x="9"/>
        <item x="7"/>
        <item x="37"/>
        <item x="36"/>
        <item x="39"/>
        <item x="14"/>
        <item x="32"/>
        <item x="8"/>
        <item x="34"/>
        <item x="33"/>
        <item x="35"/>
        <item t="default"/>
      </items>
    </pivotField>
    <pivotField showAll="0"/>
    <pivotField numFmtId="14" showAll="0">
      <items count="1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83"/>
        <item x="182"/>
        <item x="181"/>
        <item x="180"/>
        <item x="179"/>
        <item x="178"/>
        <item x="177"/>
        <item x="176"/>
        <item x="175"/>
        <item x="174"/>
        <item t="default"/>
      </items>
    </pivotField>
    <pivotField numFmtId="14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Issued_Copies" fld="8" baseField="0" baseItem="0"/>
  </dataFields>
  <chartFormats count="6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234D69-0833-42FE-8F8D-EC37F7699FD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22" firstHeaderRow="1" firstDataRow="1" firstDataCol="1"/>
  <pivotFields count="19">
    <pivotField dataField="1" showAll="0"/>
    <pivotField showAll="0"/>
    <pivotField showAll="0"/>
    <pivotField axis="axisRow" showAll="0">
      <items count="21">
        <item x="10"/>
        <item x="4"/>
        <item x="8"/>
        <item x="3"/>
        <item x="9"/>
        <item x="0"/>
        <item x="7"/>
        <item x="15"/>
        <item x="6"/>
        <item x="5"/>
        <item x="17"/>
        <item x="11"/>
        <item x="16"/>
        <item x="1"/>
        <item x="14"/>
        <item x="2"/>
        <item x="12"/>
        <item x="19"/>
        <item x="18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1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83"/>
        <item x="182"/>
        <item x="181"/>
        <item x="180"/>
        <item x="179"/>
        <item x="178"/>
        <item x="177"/>
        <item x="176"/>
        <item x="175"/>
        <item x="174"/>
        <item t="default"/>
      </items>
    </pivotField>
    <pivotField numFmtId="14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Book_ID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826B7-CADD-479D-BC37-3B1E742C4716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31:K40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numFmtId="14" showAll="0">
      <items count="1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83"/>
        <item x="182"/>
        <item x="181"/>
        <item x="180"/>
        <item x="179"/>
        <item x="178"/>
        <item x="177"/>
        <item x="176"/>
        <item x="175"/>
        <item x="174"/>
        <item t="default"/>
      </items>
    </pivotField>
    <pivotField numFmtId="14"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2">
    <field x="16"/>
    <field x="10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Issued_Copi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D52CA-FCEF-42AD-9ECD-FE80035FF55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3:B38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4" showAll="0">
      <items count="1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83"/>
        <item x="182"/>
        <item x="181"/>
        <item x="180"/>
        <item x="179"/>
        <item x="178"/>
        <item x="177"/>
        <item x="176"/>
        <item x="175"/>
        <item x="174"/>
        <item t="default"/>
      </items>
    </pivotField>
    <pivotField numFmtId="14" showAll="0"/>
    <pivotField showAll="0"/>
    <pivotField showAll="0"/>
    <pivotField showAll="0">
      <items count="188">
        <item x="113"/>
        <item x="147"/>
        <item x="131"/>
        <item x="87"/>
        <item x="127"/>
        <item x="165"/>
        <item x="170"/>
        <item x="163"/>
        <item x="56"/>
        <item x="30"/>
        <item x="155"/>
        <item x="156"/>
        <item x="173"/>
        <item x="118"/>
        <item x="185"/>
        <item x="151"/>
        <item x="181"/>
        <item x="49"/>
        <item x="46"/>
        <item x="70"/>
        <item x="115"/>
        <item x="141"/>
        <item x="140"/>
        <item x="20"/>
        <item x="18"/>
        <item x="1"/>
        <item x="152"/>
        <item x="80"/>
        <item x="28"/>
        <item x="73"/>
        <item x="102"/>
        <item x="128"/>
        <item x="157"/>
        <item x="117"/>
        <item x="40"/>
        <item x="182"/>
        <item x="76"/>
        <item x="72"/>
        <item x="164"/>
        <item x="74"/>
        <item x="129"/>
        <item x="150"/>
        <item x="85"/>
        <item x="59"/>
        <item x="15"/>
        <item x="35"/>
        <item x="107"/>
        <item x="138"/>
        <item x="50"/>
        <item x="119"/>
        <item x="184"/>
        <item x="175"/>
        <item x="162"/>
        <item x="19"/>
        <item x="178"/>
        <item x="58"/>
        <item x="167"/>
        <item x="17"/>
        <item x="90"/>
        <item x="26"/>
        <item x="111"/>
        <item x="37"/>
        <item x="89"/>
        <item x="97"/>
        <item x="132"/>
        <item x="38"/>
        <item x="148"/>
        <item x="53"/>
        <item x="169"/>
        <item x="96"/>
        <item x="179"/>
        <item x="137"/>
        <item x="32"/>
        <item x="13"/>
        <item x="135"/>
        <item x="82"/>
        <item x="145"/>
        <item x="42"/>
        <item x="95"/>
        <item x="126"/>
        <item x="160"/>
        <item x="68"/>
        <item x="25"/>
        <item x="27"/>
        <item x="12"/>
        <item x="39"/>
        <item x="47"/>
        <item x="176"/>
        <item x="130"/>
        <item x="11"/>
        <item x="92"/>
        <item x="108"/>
        <item x="67"/>
        <item x="106"/>
        <item x="55"/>
        <item x="54"/>
        <item x="144"/>
        <item x="154"/>
        <item x="180"/>
        <item x="7"/>
        <item x="172"/>
        <item x="43"/>
        <item x="114"/>
        <item x="168"/>
        <item x="45"/>
        <item x="84"/>
        <item x="93"/>
        <item x="183"/>
        <item x="29"/>
        <item x="136"/>
        <item x="0"/>
        <item x="10"/>
        <item x="3"/>
        <item x="110"/>
        <item x="8"/>
        <item x="101"/>
        <item x="133"/>
        <item x="44"/>
        <item x="158"/>
        <item x="31"/>
        <item x="64"/>
        <item x="177"/>
        <item x="125"/>
        <item x="124"/>
        <item x="5"/>
        <item x="104"/>
        <item x="51"/>
        <item x="33"/>
        <item x="103"/>
        <item x="60"/>
        <item x="112"/>
        <item x="48"/>
        <item x="81"/>
        <item x="139"/>
        <item x="75"/>
        <item x="116"/>
        <item x="171"/>
        <item x="66"/>
        <item x="78"/>
        <item x="41"/>
        <item x="149"/>
        <item x="134"/>
        <item x="52"/>
        <item x="34"/>
        <item x="98"/>
        <item x="86"/>
        <item x="2"/>
        <item x="83"/>
        <item x="62"/>
        <item x="122"/>
        <item x="57"/>
        <item x="36"/>
        <item x="4"/>
        <item x="61"/>
        <item x="14"/>
        <item x="16"/>
        <item x="120"/>
        <item x="94"/>
        <item x="88"/>
        <item x="77"/>
        <item x="22"/>
        <item x="161"/>
        <item x="123"/>
        <item x="166"/>
        <item x="142"/>
        <item x="79"/>
        <item x="91"/>
        <item x="109"/>
        <item x="24"/>
        <item x="65"/>
        <item x="69"/>
        <item x="23"/>
        <item x="71"/>
        <item x="153"/>
        <item x="146"/>
        <item x="121"/>
        <item x="100"/>
        <item x="99"/>
        <item x="174"/>
        <item x="159"/>
        <item x="105"/>
        <item x="9"/>
        <item x="6"/>
        <item x="63"/>
        <item x="21"/>
        <item x="186"/>
        <item x="14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Issued_Copies" fld="8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BEA89-706B-40CC-A129-AF407B9313F8}">
  <dimension ref="A1:P200"/>
  <sheetViews>
    <sheetView workbookViewId="0">
      <selection activeCell="B8" sqref="B8"/>
    </sheetView>
  </sheetViews>
  <sheetFormatPr defaultRowHeight="14.4" x14ac:dyDescent="0.3"/>
  <cols>
    <col min="2" max="2" width="27.33203125" bestFit="1" customWidth="1"/>
    <col min="3" max="3" width="19.21875" bestFit="1" customWidth="1"/>
    <col min="4" max="4" width="21.109375" bestFit="1" customWidth="1"/>
    <col min="5" max="5" width="15.109375" bestFit="1" customWidth="1"/>
    <col min="7" max="7" width="10.109375" customWidth="1"/>
    <col min="8" max="8" width="11.6640625" bestFit="1" customWidth="1"/>
    <col min="9" max="9" width="12.5546875" bestFit="1" customWidth="1"/>
    <col min="10" max="10" width="14.88671875" bestFit="1" customWidth="1"/>
    <col min="11" max="12" width="10.33203125" bestFit="1" customWidth="1"/>
    <col min="13" max="13" width="17.77734375" bestFit="1" customWidth="1"/>
    <col min="14" max="14" width="11.77734375" bestFit="1" customWidth="1"/>
    <col min="15" max="15" width="13.21875" bestFit="1" customWidth="1"/>
    <col min="16" max="16" width="14.21875" bestFit="1" customWidth="1"/>
  </cols>
  <sheetData>
    <row r="1" spans="1:16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</row>
    <row r="2" spans="1:16" x14ac:dyDescent="0.3">
      <c r="A2" s="12">
        <v>101</v>
      </c>
      <c r="B2" s="12" t="s">
        <v>16</v>
      </c>
      <c r="C2" s="12" t="s">
        <v>17</v>
      </c>
      <c r="D2" s="12" t="s">
        <v>18</v>
      </c>
      <c r="E2" s="12" t="s">
        <v>19</v>
      </c>
      <c r="F2" s="12">
        <v>302</v>
      </c>
      <c r="G2" s="12" t="s">
        <v>20</v>
      </c>
      <c r="H2" s="12">
        <v>45</v>
      </c>
      <c r="I2" s="12">
        <v>23</v>
      </c>
      <c r="J2" s="12">
        <v>22</v>
      </c>
      <c r="K2" s="14">
        <v>45322</v>
      </c>
      <c r="L2" s="14">
        <v>45327</v>
      </c>
      <c r="M2" s="12">
        <v>5</v>
      </c>
      <c r="N2" s="12">
        <v>460</v>
      </c>
      <c r="O2" s="12" t="s">
        <v>21</v>
      </c>
      <c r="P2" s="12" t="s">
        <v>22</v>
      </c>
    </row>
    <row r="3" spans="1:16" x14ac:dyDescent="0.3">
      <c r="A3" s="12">
        <v>102</v>
      </c>
      <c r="B3" s="12" t="s">
        <v>23</v>
      </c>
      <c r="C3" s="12" t="s">
        <v>24</v>
      </c>
      <c r="D3" s="12" t="s">
        <v>18</v>
      </c>
      <c r="E3" s="12" t="s">
        <v>25</v>
      </c>
      <c r="F3" s="12">
        <v>635</v>
      </c>
      <c r="G3" s="12" t="s">
        <v>26</v>
      </c>
      <c r="H3" s="12">
        <v>37</v>
      </c>
      <c r="I3" s="12">
        <v>19</v>
      </c>
      <c r="J3" s="12">
        <v>18</v>
      </c>
      <c r="K3" s="14">
        <v>45323</v>
      </c>
      <c r="L3" s="14">
        <v>45340</v>
      </c>
      <c r="M3" s="12">
        <v>17</v>
      </c>
      <c r="N3" s="12">
        <v>380</v>
      </c>
      <c r="O3" s="12" t="s">
        <v>27</v>
      </c>
      <c r="P3" s="12" t="s">
        <v>28</v>
      </c>
    </row>
    <row r="4" spans="1:16" x14ac:dyDescent="0.3">
      <c r="A4" s="12">
        <v>103</v>
      </c>
      <c r="B4" s="12" t="s">
        <v>29</v>
      </c>
      <c r="C4" s="12" t="s">
        <v>30</v>
      </c>
      <c r="D4" s="12" t="s">
        <v>18</v>
      </c>
      <c r="E4" s="12" t="s">
        <v>31</v>
      </c>
      <c r="F4" s="12">
        <v>470</v>
      </c>
      <c r="G4" s="12" t="s">
        <v>32</v>
      </c>
      <c r="H4" s="12">
        <v>49</v>
      </c>
      <c r="I4" s="12">
        <v>25</v>
      </c>
      <c r="J4" s="12">
        <v>24</v>
      </c>
      <c r="K4" s="14">
        <v>45324</v>
      </c>
      <c r="L4" s="14">
        <v>45349</v>
      </c>
      <c r="M4" s="12">
        <v>25</v>
      </c>
      <c r="N4" s="12">
        <v>500</v>
      </c>
      <c r="O4" s="12" t="s">
        <v>33</v>
      </c>
      <c r="P4" s="12" t="s">
        <v>34</v>
      </c>
    </row>
    <row r="5" spans="1:16" x14ac:dyDescent="0.3">
      <c r="A5" s="12">
        <v>104</v>
      </c>
      <c r="B5" s="12" t="s">
        <v>35</v>
      </c>
      <c r="C5" s="12" t="s">
        <v>36</v>
      </c>
      <c r="D5" s="12" t="s">
        <v>18</v>
      </c>
      <c r="E5" s="12" t="s">
        <v>37</v>
      </c>
      <c r="F5" s="12">
        <v>306</v>
      </c>
      <c r="G5" s="12" t="s">
        <v>38</v>
      </c>
      <c r="H5" s="12">
        <v>31</v>
      </c>
      <c r="I5" s="12">
        <v>12</v>
      </c>
      <c r="J5" s="12">
        <v>19</v>
      </c>
      <c r="K5" s="14">
        <v>45325</v>
      </c>
      <c r="L5" s="14">
        <v>45354</v>
      </c>
      <c r="M5" s="12">
        <v>29</v>
      </c>
      <c r="N5" s="12">
        <v>240</v>
      </c>
      <c r="O5" s="12" t="s">
        <v>39</v>
      </c>
      <c r="P5" s="12" t="s">
        <v>34</v>
      </c>
    </row>
    <row r="6" spans="1:16" x14ac:dyDescent="0.3">
      <c r="A6" s="12">
        <v>105</v>
      </c>
      <c r="B6" s="12" t="s">
        <v>41</v>
      </c>
      <c r="C6" s="12" t="s">
        <v>42</v>
      </c>
      <c r="D6" s="12" t="s">
        <v>18</v>
      </c>
      <c r="E6" s="12" t="s">
        <v>43</v>
      </c>
      <c r="F6" s="12">
        <v>271</v>
      </c>
      <c r="G6" s="12" t="s">
        <v>38</v>
      </c>
      <c r="H6" s="12">
        <v>42</v>
      </c>
      <c r="I6" s="12">
        <v>28</v>
      </c>
      <c r="J6" s="12">
        <v>14</v>
      </c>
      <c r="K6" s="14">
        <v>45326</v>
      </c>
      <c r="L6" s="14">
        <v>45366</v>
      </c>
      <c r="M6" s="12">
        <v>40</v>
      </c>
      <c r="N6" s="12">
        <v>560</v>
      </c>
      <c r="O6" s="12" t="s">
        <v>44</v>
      </c>
      <c r="P6" s="12" t="s">
        <v>28</v>
      </c>
    </row>
    <row r="7" spans="1:16" x14ac:dyDescent="0.3">
      <c r="A7" s="12">
        <v>106</v>
      </c>
      <c r="B7" s="12" t="s">
        <v>45</v>
      </c>
      <c r="C7" s="12" t="s">
        <v>46</v>
      </c>
      <c r="D7" s="12" t="s">
        <v>18</v>
      </c>
      <c r="E7" s="12" t="s">
        <v>47</v>
      </c>
      <c r="F7" s="12">
        <v>900</v>
      </c>
      <c r="G7" s="12" t="s">
        <v>32</v>
      </c>
      <c r="H7" s="12">
        <v>28</v>
      </c>
      <c r="I7" s="12">
        <v>9</v>
      </c>
      <c r="J7" s="12">
        <v>19</v>
      </c>
      <c r="K7" s="14">
        <v>45327</v>
      </c>
      <c r="L7" s="14">
        <v>45379</v>
      </c>
      <c r="M7" s="12">
        <v>52</v>
      </c>
      <c r="N7" s="12">
        <v>900</v>
      </c>
      <c r="O7" s="12" t="s">
        <v>48</v>
      </c>
      <c r="P7" s="12" t="s">
        <v>28</v>
      </c>
    </row>
    <row r="8" spans="1:16" x14ac:dyDescent="0.3">
      <c r="A8" s="12">
        <v>107</v>
      </c>
      <c r="B8" s="12" t="s">
        <v>49</v>
      </c>
      <c r="C8" s="12" t="s">
        <v>50</v>
      </c>
      <c r="D8" s="12" t="s">
        <v>18</v>
      </c>
      <c r="E8" s="12" t="s">
        <v>51</v>
      </c>
      <c r="F8" s="12">
        <v>220</v>
      </c>
      <c r="G8" s="12" t="s">
        <v>26</v>
      </c>
      <c r="H8" s="12">
        <v>33</v>
      </c>
      <c r="I8" s="12">
        <v>15</v>
      </c>
      <c r="J8" s="12">
        <v>18</v>
      </c>
      <c r="K8" s="14">
        <v>45328</v>
      </c>
      <c r="L8" s="14">
        <v>45388</v>
      </c>
      <c r="M8" s="12">
        <v>60</v>
      </c>
      <c r="N8" s="12">
        <v>300</v>
      </c>
      <c r="O8" s="12" t="s">
        <v>52</v>
      </c>
      <c r="P8" s="12" t="s">
        <v>34</v>
      </c>
    </row>
    <row r="9" spans="1:16" x14ac:dyDescent="0.3">
      <c r="A9" s="12">
        <v>108</v>
      </c>
      <c r="B9" s="12" t="s">
        <v>53</v>
      </c>
      <c r="C9" s="12" t="s">
        <v>54</v>
      </c>
      <c r="D9" s="12" t="s">
        <v>18</v>
      </c>
      <c r="E9" s="12" t="s">
        <v>55</v>
      </c>
      <c r="F9" s="12">
        <v>814</v>
      </c>
      <c r="G9" s="12" t="s">
        <v>32</v>
      </c>
      <c r="H9" s="12">
        <v>48</v>
      </c>
      <c r="I9" s="12">
        <v>31</v>
      </c>
      <c r="J9" s="12">
        <v>17</v>
      </c>
      <c r="K9" s="14">
        <v>45329</v>
      </c>
      <c r="L9" s="14">
        <v>45401</v>
      </c>
      <c r="M9" s="12">
        <v>72</v>
      </c>
      <c r="N9" s="12">
        <v>620</v>
      </c>
      <c r="O9" s="12" t="s">
        <v>56</v>
      </c>
      <c r="P9" s="12" t="s">
        <v>28</v>
      </c>
    </row>
    <row r="10" spans="1:16" x14ac:dyDescent="0.3">
      <c r="A10" s="12">
        <v>109</v>
      </c>
      <c r="B10" s="12" t="s">
        <v>57</v>
      </c>
      <c r="C10" s="12" t="s">
        <v>58</v>
      </c>
      <c r="D10" s="12" t="s">
        <v>18</v>
      </c>
      <c r="E10" s="12" t="s">
        <v>59</v>
      </c>
      <c r="F10" s="12">
        <v>321</v>
      </c>
      <c r="G10" s="12" t="s">
        <v>38</v>
      </c>
      <c r="H10" s="12">
        <v>40</v>
      </c>
      <c r="I10" s="12">
        <v>38</v>
      </c>
      <c r="J10" s="12">
        <v>2</v>
      </c>
      <c r="K10" s="14">
        <v>45330</v>
      </c>
      <c r="L10" s="14">
        <v>45412</v>
      </c>
      <c r="M10" s="12">
        <v>82</v>
      </c>
      <c r="N10" s="12">
        <v>760</v>
      </c>
      <c r="O10" s="12" t="s">
        <v>60</v>
      </c>
      <c r="P10" s="12" t="s">
        <v>28</v>
      </c>
    </row>
    <row r="11" spans="1:16" x14ac:dyDescent="0.3">
      <c r="A11" s="12">
        <v>110</v>
      </c>
      <c r="B11" s="12" t="s">
        <v>62</v>
      </c>
      <c r="C11" s="12" t="s">
        <v>63</v>
      </c>
      <c r="D11" s="12" t="s">
        <v>18</v>
      </c>
      <c r="E11" s="12" t="s">
        <v>64</v>
      </c>
      <c r="F11" s="12">
        <v>666</v>
      </c>
      <c r="G11" s="12" t="s">
        <v>65</v>
      </c>
      <c r="H11" s="12">
        <v>47</v>
      </c>
      <c r="I11" s="12">
        <v>30</v>
      </c>
      <c r="J11" s="12">
        <v>17</v>
      </c>
      <c r="K11" s="14">
        <v>45331</v>
      </c>
      <c r="L11" s="14">
        <v>45416</v>
      </c>
      <c r="M11" s="12">
        <v>85</v>
      </c>
      <c r="N11" s="12">
        <v>600</v>
      </c>
      <c r="O11" s="12" t="s">
        <v>66</v>
      </c>
      <c r="P11" s="12" t="s">
        <v>28</v>
      </c>
    </row>
    <row r="12" spans="1:16" x14ac:dyDescent="0.3">
      <c r="A12" s="12">
        <v>111</v>
      </c>
      <c r="B12" s="12" t="s">
        <v>67</v>
      </c>
      <c r="C12" s="12" t="s">
        <v>68</v>
      </c>
      <c r="D12" s="12" t="s">
        <v>18</v>
      </c>
      <c r="E12" s="12" t="s">
        <v>69</v>
      </c>
      <c r="F12" s="12">
        <v>414</v>
      </c>
      <c r="G12" s="12" t="s">
        <v>20</v>
      </c>
      <c r="H12" s="12">
        <v>44</v>
      </c>
      <c r="I12" s="12">
        <v>22</v>
      </c>
      <c r="J12" s="12">
        <v>22</v>
      </c>
      <c r="K12" s="14">
        <v>45332</v>
      </c>
      <c r="L12" s="14">
        <v>45429</v>
      </c>
      <c r="M12" s="12">
        <v>97</v>
      </c>
      <c r="N12" s="12">
        <v>440</v>
      </c>
      <c r="O12" s="12" t="s">
        <v>70</v>
      </c>
      <c r="P12" s="12" t="s">
        <v>28</v>
      </c>
    </row>
    <row r="13" spans="1:16" x14ac:dyDescent="0.3">
      <c r="A13" s="12">
        <v>112</v>
      </c>
      <c r="B13" s="12" t="s">
        <v>71</v>
      </c>
      <c r="C13" s="12" t="s">
        <v>72</v>
      </c>
      <c r="D13" s="12" t="s">
        <v>18</v>
      </c>
      <c r="E13" s="12" t="s">
        <v>73</v>
      </c>
      <c r="F13" s="12">
        <v>530</v>
      </c>
      <c r="G13" s="12" t="s">
        <v>38</v>
      </c>
      <c r="H13" s="12">
        <v>29</v>
      </c>
      <c r="I13" s="12">
        <v>10</v>
      </c>
      <c r="J13" s="12">
        <v>19</v>
      </c>
      <c r="K13" s="14">
        <v>45333</v>
      </c>
      <c r="L13" s="14">
        <v>45441</v>
      </c>
      <c r="M13" s="12">
        <v>108</v>
      </c>
      <c r="N13" s="12">
        <v>100</v>
      </c>
      <c r="O13" s="12" t="s">
        <v>74</v>
      </c>
      <c r="P13" s="12" t="s">
        <v>28</v>
      </c>
    </row>
    <row r="14" spans="1:16" x14ac:dyDescent="0.3">
      <c r="A14" s="12">
        <v>113</v>
      </c>
      <c r="B14" s="12" t="s">
        <v>75</v>
      </c>
      <c r="C14" s="12" t="s">
        <v>76</v>
      </c>
      <c r="D14" s="12" t="s">
        <v>18</v>
      </c>
      <c r="E14" s="12" t="s">
        <v>77</v>
      </c>
      <c r="F14" s="12">
        <v>658</v>
      </c>
      <c r="G14" s="12" t="s">
        <v>32</v>
      </c>
      <c r="H14" s="12">
        <v>38</v>
      </c>
      <c r="I14" s="12">
        <v>24</v>
      </c>
      <c r="J14" s="12">
        <v>14</v>
      </c>
      <c r="K14" s="14">
        <v>45334</v>
      </c>
      <c r="L14" s="14">
        <v>45445</v>
      </c>
      <c r="M14" s="12">
        <v>111</v>
      </c>
      <c r="N14" s="12">
        <v>480</v>
      </c>
      <c r="O14" s="12" t="s">
        <v>78</v>
      </c>
      <c r="P14" s="12" t="s">
        <v>28</v>
      </c>
    </row>
    <row r="15" spans="1:16" x14ac:dyDescent="0.3">
      <c r="A15" s="12">
        <v>114</v>
      </c>
      <c r="B15" s="12" t="s">
        <v>79</v>
      </c>
      <c r="C15" s="12" t="s">
        <v>80</v>
      </c>
      <c r="D15" s="12" t="s">
        <v>18</v>
      </c>
      <c r="E15" s="12" t="s">
        <v>81</v>
      </c>
      <c r="F15" s="12">
        <v>287</v>
      </c>
      <c r="G15" s="12" t="s">
        <v>20</v>
      </c>
      <c r="H15" s="12">
        <v>30</v>
      </c>
      <c r="I15" s="12">
        <v>11</v>
      </c>
      <c r="J15" s="12">
        <v>19</v>
      </c>
      <c r="K15" s="14">
        <v>45335</v>
      </c>
      <c r="L15" s="14">
        <v>45457</v>
      </c>
      <c r="M15" s="12">
        <v>122</v>
      </c>
      <c r="N15" s="12">
        <v>110</v>
      </c>
      <c r="O15" s="12" t="s">
        <v>82</v>
      </c>
      <c r="P15" s="12" t="s">
        <v>28</v>
      </c>
    </row>
    <row r="16" spans="1:16" x14ac:dyDescent="0.3">
      <c r="A16" s="12">
        <v>115</v>
      </c>
      <c r="B16" s="12" t="s">
        <v>61</v>
      </c>
      <c r="C16" s="12" t="s">
        <v>84</v>
      </c>
      <c r="D16" s="12" t="s">
        <v>18</v>
      </c>
      <c r="E16" s="12" t="s">
        <v>85</v>
      </c>
      <c r="F16" s="12">
        <v>572</v>
      </c>
      <c r="G16" s="12" t="s">
        <v>32</v>
      </c>
      <c r="H16" s="12">
        <v>46</v>
      </c>
      <c r="I16" s="12">
        <v>35</v>
      </c>
      <c r="J16" s="12">
        <v>11</v>
      </c>
      <c r="K16" s="14">
        <v>45336</v>
      </c>
      <c r="L16" s="14">
        <v>45470</v>
      </c>
      <c r="M16" s="12">
        <v>134</v>
      </c>
      <c r="N16" s="12">
        <v>700</v>
      </c>
      <c r="O16" s="12" t="s">
        <v>86</v>
      </c>
      <c r="P16" s="12" t="s">
        <v>34</v>
      </c>
    </row>
    <row r="17" spans="1:16" x14ac:dyDescent="0.3">
      <c r="A17" s="12">
        <v>116</v>
      </c>
      <c r="B17" s="12" t="s">
        <v>87</v>
      </c>
      <c r="C17" s="12" t="s">
        <v>88</v>
      </c>
      <c r="D17" s="12" t="s">
        <v>18</v>
      </c>
      <c r="E17" s="12" t="s">
        <v>89</v>
      </c>
      <c r="F17" s="12">
        <v>299</v>
      </c>
      <c r="G17" s="12" t="s">
        <v>32</v>
      </c>
      <c r="H17" s="12">
        <v>35</v>
      </c>
      <c r="I17" s="12">
        <v>29</v>
      </c>
      <c r="J17" s="12">
        <v>6</v>
      </c>
      <c r="K17" s="14">
        <v>45337</v>
      </c>
      <c r="L17" s="14">
        <v>45478</v>
      </c>
      <c r="M17" s="12">
        <v>141</v>
      </c>
      <c r="N17" s="12">
        <v>580</v>
      </c>
      <c r="O17" s="12" t="s">
        <v>90</v>
      </c>
      <c r="P17" s="12" t="s">
        <v>28</v>
      </c>
    </row>
    <row r="18" spans="1:16" x14ac:dyDescent="0.3">
      <c r="A18" s="12">
        <v>117</v>
      </c>
      <c r="B18" s="12" t="s">
        <v>91</v>
      </c>
      <c r="C18" s="12" t="s">
        <v>92</v>
      </c>
      <c r="D18" s="12" t="s">
        <v>18</v>
      </c>
      <c r="E18" s="12" t="s">
        <v>93</v>
      </c>
      <c r="F18" s="12">
        <v>863</v>
      </c>
      <c r="G18" s="12" t="s">
        <v>65</v>
      </c>
      <c r="H18" s="12">
        <v>32</v>
      </c>
      <c r="I18" s="12">
        <v>27</v>
      </c>
      <c r="J18" s="12">
        <v>5</v>
      </c>
      <c r="K18" s="14">
        <v>45338</v>
      </c>
      <c r="L18" s="14">
        <v>45491</v>
      </c>
      <c r="M18" s="12">
        <v>153</v>
      </c>
      <c r="N18" s="12">
        <v>540</v>
      </c>
      <c r="O18" s="12" t="s">
        <v>94</v>
      </c>
      <c r="P18" s="12" t="s">
        <v>28</v>
      </c>
    </row>
    <row r="19" spans="1:16" x14ac:dyDescent="0.3">
      <c r="A19" s="12">
        <v>118</v>
      </c>
      <c r="B19" s="12" t="s">
        <v>95</v>
      </c>
      <c r="C19" s="12" t="s">
        <v>96</v>
      </c>
      <c r="D19" s="12" t="s">
        <v>18</v>
      </c>
      <c r="E19" s="12" t="s">
        <v>97</v>
      </c>
      <c r="F19" s="12">
        <v>330</v>
      </c>
      <c r="G19" s="12" t="s">
        <v>20</v>
      </c>
      <c r="H19" s="12">
        <v>43</v>
      </c>
      <c r="I19" s="12">
        <v>20</v>
      </c>
      <c r="J19" s="12">
        <v>23</v>
      </c>
      <c r="K19" s="14">
        <v>45339</v>
      </c>
      <c r="L19" s="14">
        <v>45504</v>
      </c>
      <c r="M19" s="12">
        <v>165</v>
      </c>
      <c r="N19" s="12">
        <v>400</v>
      </c>
      <c r="O19" s="12" t="s">
        <v>98</v>
      </c>
      <c r="P19" s="12" t="s">
        <v>22</v>
      </c>
    </row>
    <row r="20" spans="1:16" x14ac:dyDescent="0.3">
      <c r="A20" s="12">
        <v>119</v>
      </c>
      <c r="B20" s="12" t="s">
        <v>99</v>
      </c>
      <c r="C20" s="12" t="s">
        <v>100</v>
      </c>
      <c r="D20" s="12" t="s">
        <v>18</v>
      </c>
      <c r="E20" s="12" t="s">
        <v>101</v>
      </c>
      <c r="F20" s="12">
        <v>861</v>
      </c>
      <c r="G20" s="12" t="s">
        <v>20</v>
      </c>
      <c r="H20" s="12">
        <v>41</v>
      </c>
      <c r="I20" s="12">
        <v>19</v>
      </c>
      <c r="J20" s="12">
        <v>22</v>
      </c>
      <c r="K20" s="14">
        <v>45340</v>
      </c>
      <c r="L20" s="14">
        <v>45507</v>
      </c>
      <c r="M20" s="12">
        <v>167</v>
      </c>
      <c r="N20" s="12">
        <v>380</v>
      </c>
      <c r="O20" s="12" t="s">
        <v>102</v>
      </c>
      <c r="P20" s="12" t="s">
        <v>28</v>
      </c>
    </row>
    <row r="21" spans="1:16" x14ac:dyDescent="0.3">
      <c r="A21" s="12">
        <v>120</v>
      </c>
      <c r="B21" s="12" t="s">
        <v>103</v>
      </c>
      <c r="C21" s="12" t="s">
        <v>104</v>
      </c>
      <c r="D21" s="12" t="s">
        <v>18</v>
      </c>
      <c r="E21" s="12" t="s">
        <v>105</v>
      </c>
      <c r="F21" s="12">
        <v>508</v>
      </c>
      <c r="G21" s="12" t="s">
        <v>65</v>
      </c>
      <c r="H21" s="12">
        <v>39</v>
      </c>
      <c r="I21" s="12">
        <v>21</v>
      </c>
      <c r="J21" s="12">
        <v>18</v>
      </c>
      <c r="K21" s="14">
        <v>45341</v>
      </c>
      <c r="L21" s="14">
        <v>45520</v>
      </c>
      <c r="M21" s="12">
        <v>179</v>
      </c>
      <c r="N21" s="12">
        <v>420</v>
      </c>
      <c r="O21" s="12" t="s">
        <v>106</v>
      </c>
      <c r="P21" s="12" t="s">
        <v>107</v>
      </c>
    </row>
    <row r="22" spans="1:16" x14ac:dyDescent="0.3">
      <c r="A22" s="12">
        <v>121</v>
      </c>
      <c r="B22" s="12" t="s">
        <v>108</v>
      </c>
      <c r="C22" s="12" t="s">
        <v>109</v>
      </c>
      <c r="D22" s="12" t="s">
        <v>18</v>
      </c>
      <c r="E22" s="12" t="s">
        <v>110</v>
      </c>
      <c r="F22" s="12">
        <v>969</v>
      </c>
      <c r="G22" s="12" t="s">
        <v>38</v>
      </c>
      <c r="H22" s="12">
        <v>27</v>
      </c>
      <c r="I22" s="12">
        <v>12</v>
      </c>
      <c r="J22" s="12">
        <v>15</v>
      </c>
      <c r="K22" s="14">
        <v>45342</v>
      </c>
      <c r="L22" s="14">
        <v>45532</v>
      </c>
      <c r="M22" s="12">
        <v>190</v>
      </c>
      <c r="N22" s="12">
        <v>240</v>
      </c>
      <c r="O22" s="12" t="s">
        <v>111</v>
      </c>
      <c r="P22" s="12" t="s">
        <v>28</v>
      </c>
    </row>
    <row r="23" spans="1:16" x14ac:dyDescent="0.3">
      <c r="A23" s="12">
        <v>122</v>
      </c>
      <c r="B23" s="12" t="s">
        <v>112</v>
      </c>
      <c r="C23" s="12" t="s">
        <v>113</v>
      </c>
      <c r="D23" s="12" t="s">
        <v>18</v>
      </c>
      <c r="E23" s="12" t="s">
        <v>114</v>
      </c>
      <c r="F23" s="12">
        <v>543</v>
      </c>
      <c r="G23" s="12" t="s">
        <v>32</v>
      </c>
      <c r="H23" s="12">
        <v>36</v>
      </c>
      <c r="I23" s="12">
        <v>26</v>
      </c>
      <c r="J23" s="12">
        <v>10</v>
      </c>
      <c r="K23" s="14">
        <v>45343</v>
      </c>
      <c r="L23" s="14">
        <v>45541</v>
      </c>
      <c r="M23" s="12">
        <v>198</v>
      </c>
      <c r="N23" s="12">
        <v>520</v>
      </c>
      <c r="O23" s="12" t="s">
        <v>115</v>
      </c>
      <c r="P23" s="12" t="s">
        <v>34</v>
      </c>
    </row>
    <row r="24" spans="1:16" x14ac:dyDescent="0.3">
      <c r="A24" s="12">
        <v>123</v>
      </c>
      <c r="B24" s="12" t="s">
        <v>116</v>
      </c>
      <c r="C24" s="12" t="s">
        <v>117</v>
      </c>
      <c r="D24" s="12" t="s">
        <v>18</v>
      </c>
      <c r="E24" s="12" t="s">
        <v>118</v>
      </c>
      <c r="F24" s="12">
        <v>691</v>
      </c>
      <c r="G24" s="12" t="s">
        <v>26</v>
      </c>
      <c r="H24" s="12">
        <v>34</v>
      </c>
      <c r="I24" s="12">
        <v>18</v>
      </c>
      <c r="J24" s="12">
        <v>16</v>
      </c>
      <c r="K24" s="14">
        <v>45344</v>
      </c>
      <c r="L24" s="14">
        <v>45554</v>
      </c>
      <c r="M24" s="12">
        <v>210</v>
      </c>
      <c r="N24" s="12">
        <v>360</v>
      </c>
      <c r="O24" s="12" t="s">
        <v>119</v>
      </c>
      <c r="P24" s="12" t="s">
        <v>22</v>
      </c>
    </row>
    <row r="25" spans="1:16" x14ac:dyDescent="0.3">
      <c r="A25" s="12">
        <v>124</v>
      </c>
      <c r="B25" s="12" t="s">
        <v>120</v>
      </c>
      <c r="C25" s="12" t="s">
        <v>121</v>
      </c>
      <c r="D25" s="12" t="s">
        <v>18</v>
      </c>
      <c r="E25" s="12" t="s">
        <v>122</v>
      </c>
      <c r="F25" s="12">
        <v>613</v>
      </c>
      <c r="G25" s="12" t="s">
        <v>32</v>
      </c>
      <c r="H25" s="12">
        <v>25</v>
      </c>
      <c r="I25" s="12">
        <v>9</v>
      </c>
      <c r="J25" s="12">
        <v>16</v>
      </c>
      <c r="K25" s="14">
        <v>45345</v>
      </c>
      <c r="L25" s="14">
        <v>45565</v>
      </c>
      <c r="M25" s="12">
        <v>220</v>
      </c>
      <c r="N25" s="12">
        <v>900</v>
      </c>
      <c r="O25" s="12" t="s">
        <v>123</v>
      </c>
      <c r="P25" s="12" t="s">
        <v>28</v>
      </c>
    </row>
    <row r="26" spans="1:16" x14ac:dyDescent="0.3">
      <c r="A26" s="12">
        <v>125</v>
      </c>
      <c r="B26" s="12" t="s">
        <v>124</v>
      </c>
      <c r="C26" s="12" t="s">
        <v>125</v>
      </c>
      <c r="D26" s="12" t="s">
        <v>18</v>
      </c>
      <c r="E26" s="12" t="s">
        <v>126</v>
      </c>
      <c r="F26" s="12">
        <v>585</v>
      </c>
      <c r="G26" s="12" t="s">
        <v>32</v>
      </c>
      <c r="H26" s="12">
        <v>26</v>
      </c>
      <c r="I26" s="12">
        <v>13</v>
      </c>
      <c r="J26" s="12">
        <v>13</v>
      </c>
      <c r="K26" s="14">
        <v>45346</v>
      </c>
      <c r="L26" s="14">
        <v>45569</v>
      </c>
      <c r="M26" s="12">
        <v>223</v>
      </c>
      <c r="N26" s="12">
        <v>130</v>
      </c>
      <c r="O26" s="12" t="s">
        <v>127</v>
      </c>
      <c r="P26" s="12" t="s">
        <v>28</v>
      </c>
    </row>
    <row r="27" spans="1:16" x14ac:dyDescent="0.3">
      <c r="A27" s="12">
        <v>126</v>
      </c>
      <c r="B27" s="12" t="s">
        <v>128</v>
      </c>
      <c r="C27" s="12" t="s">
        <v>129</v>
      </c>
      <c r="D27" s="12" t="s">
        <v>18</v>
      </c>
      <c r="E27" s="12" t="s">
        <v>130</v>
      </c>
      <c r="F27" s="12">
        <v>391</v>
      </c>
      <c r="G27" s="12" t="s">
        <v>38</v>
      </c>
      <c r="H27" s="12">
        <v>22</v>
      </c>
      <c r="I27" s="12">
        <v>7</v>
      </c>
      <c r="J27" s="12">
        <v>15</v>
      </c>
      <c r="K27" s="14">
        <v>45347</v>
      </c>
      <c r="L27" s="14">
        <v>45582</v>
      </c>
      <c r="M27" s="12">
        <v>235</v>
      </c>
      <c r="N27" s="12">
        <v>140</v>
      </c>
      <c r="O27" s="12" t="s">
        <v>131</v>
      </c>
      <c r="P27" s="12" t="s">
        <v>34</v>
      </c>
    </row>
    <row r="28" spans="1:16" x14ac:dyDescent="0.3">
      <c r="A28" s="12">
        <v>127</v>
      </c>
      <c r="B28" s="12" t="s">
        <v>132</v>
      </c>
      <c r="C28" s="12" t="s">
        <v>133</v>
      </c>
      <c r="D28" s="12" t="s">
        <v>18</v>
      </c>
      <c r="E28" s="12" t="s">
        <v>134</v>
      </c>
      <c r="F28" s="12">
        <v>476</v>
      </c>
      <c r="G28" s="12" t="s">
        <v>32</v>
      </c>
      <c r="H28" s="12">
        <v>24</v>
      </c>
      <c r="I28" s="12">
        <v>15</v>
      </c>
      <c r="J28" s="12">
        <v>9</v>
      </c>
      <c r="K28" s="14">
        <v>45348</v>
      </c>
      <c r="L28" s="14">
        <v>45594</v>
      </c>
      <c r="M28" s="12">
        <v>246</v>
      </c>
      <c r="N28" s="12">
        <v>240</v>
      </c>
      <c r="O28" s="12" t="s">
        <v>135</v>
      </c>
      <c r="P28" s="12" t="s">
        <v>28</v>
      </c>
    </row>
    <row r="29" spans="1:16" x14ac:dyDescent="0.3">
      <c r="A29" s="12">
        <v>128</v>
      </c>
      <c r="B29" s="12" t="s">
        <v>136</v>
      </c>
      <c r="C29" s="12" t="s">
        <v>137</v>
      </c>
      <c r="D29" s="12" t="s">
        <v>138</v>
      </c>
      <c r="E29" s="12" t="s">
        <v>139</v>
      </c>
      <c r="F29" s="12">
        <v>360</v>
      </c>
      <c r="G29" s="12" t="s">
        <v>65</v>
      </c>
      <c r="H29" s="12">
        <v>23</v>
      </c>
      <c r="I29" s="12">
        <v>14</v>
      </c>
      <c r="J29" s="12">
        <v>9</v>
      </c>
      <c r="K29" s="14">
        <v>45349</v>
      </c>
      <c r="L29" s="14">
        <v>45598</v>
      </c>
      <c r="M29" s="12">
        <v>249</v>
      </c>
      <c r="N29" s="12">
        <v>280</v>
      </c>
      <c r="O29" s="12" t="s">
        <v>140</v>
      </c>
      <c r="P29" s="12" t="s">
        <v>28</v>
      </c>
    </row>
    <row r="30" spans="1:16" x14ac:dyDescent="0.3">
      <c r="A30" s="12">
        <v>129</v>
      </c>
      <c r="B30" s="12" t="s">
        <v>141</v>
      </c>
      <c r="C30" s="12" t="s">
        <v>142</v>
      </c>
      <c r="D30" s="12" t="s">
        <v>138</v>
      </c>
      <c r="E30" s="12" t="s">
        <v>143</v>
      </c>
      <c r="F30" s="12">
        <v>659</v>
      </c>
      <c r="G30" s="12" t="s">
        <v>65</v>
      </c>
      <c r="H30" s="12">
        <v>21</v>
      </c>
      <c r="I30" s="12">
        <v>16</v>
      </c>
      <c r="J30" s="12">
        <v>5</v>
      </c>
      <c r="K30" s="14">
        <v>45350</v>
      </c>
      <c r="L30" s="14">
        <v>45611</v>
      </c>
      <c r="M30" s="12">
        <v>261</v>
      </c>
      <c r="N30" s="12">
        <v>320</v>
      </c>
      <c r="O30" s="12" t="s">
        <v>144</v>
      </c>
      <c r="P30" s="12" t="s">
        <v>28</v>
      </c>
    </row>
    <row r="31" spans="1:16" x14ac:dyDescent="0.3">
      <c r="A31" s="12">
        <v>130</v>
      </c>
      <c r="B31" s="12" t="s">
        <v>145</v>
      </c>
      <c r="C31" s="12" t="s">
        <v>146</v>
      </c>
      <c r="D31" s="12" t="s">
        <v>138</v>
      </c>
      <c r="E31" s="12" t="s">
        <v>147</v>
      </c>
      <c r="F31" s="12">
        <v>513</v>
      </c>
      <c r="G31" s="12" t="s">
        <v>20</v>
      </c>
      <c r="H31" s="12">
        <v>20</v>
      </c>
      <c r="I31" s="12">
        <v>11</v>
      </c>
      <c r="J31" s="12">
        <v>9</v>
      </c>
      <c r="K31" s="14">
        <v>45351</v>
      </c>
      <c r="L31" s="14">
        <v>45624</v>
      </c>
      <c r="M31" s="12">
        <v>273</v>
      </c>
      <c r="N31" s="12">
        <v>200</v>
      </c>
      <c r="O31" s="12" t="s">
        <v>148</v>
      </c>
      <c r="P31" s="12" t="s">
        <v>22</v>
      </c>
    </row>
    <row r="32" spans="1:16" x14ac:dyDescent="0.3">
      <c r="A32" s="12">
        <v>131</v>
      </c>
      <c r="B32" s="12" t="s">
        <v>149</v>
      </c>
      <c r="C32" s="12" t="s">
        <v>150</v>
      </c>
      <c r="D32" s="12" t="s">
        <v>138</v>
      </c>
      <c r="E32" s="12" t="s">
        <v>151</v>
      </c>
      <c r="F32" s="12">
        <v>221</v>
      </c>
      <c r="G32" s="12" t="s">
        <v>26</v>
      </c>
      <c r="H32" s="12">
        <v>19</v>
      </c>
      <c r="I32" s="12">
        <v>10</v>
      </c>
      <c r="J32" s="12">
        <v>9</v>
      </c>
      <c r="K32" s="14">
        <v>45352</v>
      </c>
      <c r="L32" s="14">
        <v>45631</v>
      </c>
      <c r="M32" s="12">
        <v>279</v>
      </c>
      <c r="N32" s="12">
        <v>100</v>
      </c>
      <c r="O32" s="12" t="s">
        <v>152</v>
      </c>
      <c r="P32" s="12" t="s">
        <v>34</v>
      </c>
    </row>
    <row r="33" spans="1:16" x14ac:dyDescent="0.3">
      <c r="A33" s="12">
        <v>132</v>
      </c>
      <c r="B33" s="12" t="s">
        <v>153</v>
      </c>
      <c r="C33" s="12" t="s">
        <v>154</v>
      </c>
      <c r="D33" s="12" t="s">
        <v>138</v>
      </c>
      <c r="E33" s="12" t="s">
        <v>155</v>
      </c>
      <c r="F33" s="12">
        <v>452</v>
      </c>
      <c r="G33" s="12" t="s">
        <v>32</v>
      </c>
      <c r="H33" s="12">
        <v>18</v>
      </c>
      <c r="I33" s="12">
        <v>6</v>
      </c>
      <c r="J33" s="12">
        <v>12</v>
      </c>
      <c r="K33" s="14">
        <v>45353</v>
      </c>
      <c r="L33" s="14">
        <v>45644</v>
      </c>
      <c r="M33" s="12">
        <v>291</v>
      </c>
      <c r="N33" s="12">
        <v>600</v>
      </c>
      <c r="O33" s="12" t="s">
        <v>156</v>
      </c>
      <c r="P33" s="12" t="s">
        <v>28</v>
      </c>
    </row>
    <row r="34" spans="1:16" x14ac:dyDescent="0.3">
      <c r="A34" s="12">
        <v>133</v>
      </c>
      <c r="B34" s="12" t="s">
        <v>157</v>
      </c>
      <c r="C34" s="12" t="s">
        <v>158</v>
      </c>
      <c r="D34" s="12" t="s">
        <v>138</v>
      </c>
      <c r="E34" s="12" t="s">
        <v>159</v>
      </c>
      <c r="F34" s="12">
        <v>947</v>
      </c>
      <c r="G34" s="12" t="s">
        <v>32</v>
      </c>
      <c r="H34" s="12">
        <v>17</v>
      </c>
      <c r="I34" s="12">
        <v>8</v>
      </c>
      <c r="J34" s="12">
        <v>9</v>
      </c>
      <c r="K34" s="14">
        <v>45354</v>
      </c>
      <c r="L34" s="14">
        <v>45656</v>
      </c>
      <c r="M34" s="12">
        <v>302</v>
      </c>
      <c r="N34" s="12">
        <v>480</v>
      </c>
      <c r="O34" s="12" t="s">
        <v>160</v>
      </c>
      <c r="P34" s="12" t="s">
        <v>28</v>
      </c>
    </row>
    <row r="35" spans="1:16" x14ac:dyDescent="0.3">
      <c r="A35" s="12">
        <v>134</v>
      </c>
      <c r="B35" s="12" t="s">
        <v>161</v>
      </c>
      <c r="C35" s="12" t="s">
        <v>162</v>
      </c>
      <c r="D35" s="12" t="s">
        <v>138</v>
      </c>
      <c r="E35" s="12" t="s">
        <v>163</v>
      </c>
      <c r="F35" s="12">
        <v>760</v>
      </c>
      <c r="G35" s="12" t="s">
        <v>38</v>
      </c>
      <c r="H35" s="12">
        <v>16</v>
      </c>
      <c r="I35" s="12">
        <v>4</v>
      </c>
      <c r="J35" s="12">
        <v>12</v>
      </c>
      <c r="K35" s="14">
        <v>45355</v>
      </c>
      <c r="L35" s="14">
        <v>45661</v>
      </c>
      <c r="M35" s="12">
        <v>306</v>
      </c>
      <c r="N35" s="12">
        <v>320</v>
      </c>
      <c r="O35" s="12" t="s">
        <v>164</v>
      </c>
      <c r="P35" s="12" t="s">
        <v>34</v>
      </c>
    </row>
    <row r="36" spans="1:16" x14ac:dyDescent="0.3">
      <c r="A36" s="12">
        <v>135</v>
      </c>
      <c r="B36" s="12" t="s">
        <v>165</v>
      </c>
      <c r="C36" s="12" t="s">
        <v>166</v>
      </c>
      <c r="D36" s="12" t="s">
        <v>138</v>
      </c>
      <c r="E36" s="12" t="s">
        <v>167</v>
      </c>
      <c r="F36" s="12">
        <v>674</v>
      </c>
      <c r="G36" s="12" t="s">
        <v>65</v>
      </c>
      <c r="H36" s="12">
        <v>15</v>
      </c>
      <c r="I36" s="12">
        <v>9</v>
      </c>
      <c r="J36" s="12">
        <v>6</v>
      </c>
      <c r="K36" s="14">
        <v>45356</v>
      </c>
      <c r="L36" s="14">
        <v>45673</v>
      </c>
      <c r="M36" s="12">
        <v>317</v>
      </c>
      <c r="N36" s="12">
        <v>340</v>
      </c>
      <c r="O36" s="12" t="s">
        <v>168</v>
      </c>
      <c r="P36" s="12" t="s">
        <v>28</v>
      </c>
    </row>
    <row r="37" spans="1:16" x14ac:dyDescent="0.3">
      <c r="A37" s="12">
        <v>136</v>
      </c>
      <c r="B37" s="12" t="s">
        <v>169</v>
      </c>
      <c r="C37" s="12" t="s">
        <v>170</v>
      </c>
      <c r="D37" s="12" t="s">
        <v>138</v>
      </c>
      <c r="E37" s="12" t="s">
        <v>171</v>
      </c>
      <c r="F37" s="12">
        <v>258</v>
      </c>
      <c r="G37" s="12" t="s">
        <v>26</v>
      </c>
      <c r="H37" s="12">
        <v>14</v>
      </c>
      <c r="I37" s="12">
        <v>5</v>
      </c>
      <c r="J37" s="12">
        <v>9</v>
      </c>
      <c r="K37" s="14">
        <v>45357</v>
      </c>
      <c r="L37" s="14">
        <v>45686</v>
      </c>
      <c r="M37" s="12">
        <v>329</v>
      </c>
      <c r="N37" s="12">
        <v>360</v>
      </c>
      <c r="O37" s="12" t="s">
        <v>172</v>
      </c>
      <c r="P37" s="12" t="s">
        <v>28</v>
      </c>
    </row>
    <row r="38" spans="1:16" x14ac:dyDescent="0.3">
      <c r="A38" s="12">
        <v>137</v>
      </c>
      <c r="B38" s="12" t="s">
        <v>173</v>
      </c>
      <c r="C38" s="12" t="s">
        <v>174</v>
      </c>
      <c r="D38" s="12" t="s">
        <v>138</v>
      </c>
      <c r="E38" s="12" t="s">
        <v>175</v>
      </c>
      <c r="F38" s="12">
        <v>710</v>
      </c>
      <c r="G38" s="12" t="s">
        <v>20</v>
      </c>
      <c r="H38" s="12">
        <v>13</v>
      </c>
      <c r="I38" s="12">
        <v>7</v>
      </c>
      <c r="J38" s="12">
        <v>6</v>
      </c>
      <c r="K38" s="14">
        <v>45358</v>
      </c>
      <c r="L38" s="14">
        <v>45694</v>
      </c>
      <c r="M38" s="12">
        <v>336</v>
      </c>
      <c r="N38" s="12">
        <v>400</v>
      </c>
      <c r="O38" s="12" t="s">
        <v>176</v>
      </c>
      <c r="P38" s="12" t="s">
        <v>28</v>
      </c>
    </row>
    <row r="39" spans="1:16" x14ac:dyDescent="0.3">
      <c r="A39" s="12">
        <v>138</v>
      </c>
      <c r="B39" s="12" t="s">
        <v>177</v>
      </c>
      <c r="C39" s="12" t="s">
        <v>178</v>
      </c>
      <c r="D39" s="12" t="s">
        <v>138</v>
      </c>
      <c r="E39" s="12" t="s">
        <v>179</v>
      </c>
      <c r="F39" s="12">
        <v>881</v>
      </c>
      <c r="G39" s="12" t="s">
        <v>65</v>
      </c>
      <c r="H39" s="12">
        <v>12</v>
      </c>
      <c r="I39" s="12">
        <v>3</v>
      </c>
      <c r="J39" s="12">
        <v>9</v>
      </c>
      <c r="K39" s="14">
        <v>45359</v>
      </c>
      <c r="L39" s="14">
        <v>45706</v>
      </c>
      <c r="M39" s="12">
        <v>347</v>
      </c>
      <c r="N39" s="12">
        <v>420</v>
      </c>
      <c r="O39" s="12" t="s">
        <v>180</v>
      </c>
      <c r="P39" s="12" t="s">
        <v>34</v>
      </c>
    </row>
    <row r="40" spans="1:16" x14ac:dyDescent="0.3">
      <c r="A40" s="12">
        <v>139</v>
      </c>
      <c r="B40" s="12" t="s">
        <v>181</v>
      </c>
      <c r="C40" s="12" t="s">
        <v>182</v>
      </c>
      <c r="D40" s="12" t="s">
        <v>183</v>
      </c>
      <c r="E40" s="12" t="s">
        <v>184</v>
      </c>
      <c r="F40" s="12">
        <v>675</v>
      </c>
      <c r="G40" s="12" t="s">
        <v>20</v>
      </c>
      <c r="H40" s="12">
        <v>11</v>
      </c>
      <c r="I40" s="12">
        <v>6</v>
      </c>
      <c r="J40" s="12">
        <v>5</v>
      </c>
      <c r="K40" s="14">
        <v>45360</v>
      </c>
      <c r="L40" s="14">
        <v>45715</v>
      </c>
      <c r="M40" s="12">
        <v>355</v>
      </c>
      <c r="N40" s="12">
        <v>440</v>
      </c>
      <c r="O40" s="12" t="s">
        <v>185</v>
      </c>
      <c r="P40" s="12" t="s">
        <v>28</v>
      </c>
    </row>
    <row r="41" spans="1:16" x14ac:dyDescent="0.3">
      <c r="A41" s="12">
        <v>140</v>
      </c>
      <c r="B41" s="12" t="s">
        <v>186</v>
      </c>
      <c r="C41" s="12" t="s">
        <v>187</v>
      </c>
      <c r="D41" s="12" t="s">
        <v>183</v>
      </c>
      <c r="E41" s="12" t="s">
        <v>188</v>
      </c>
      <c r="F41" s="12">
        <v>899</v>
      </c>
      <c r="G41" s="12" t="s">
        <v>38</v>
      </c>
      <c r="H41" s="12">
        <v>10</v>
      </c>
      <c r="I41" s="12">
        <v>4</v>
      </c>
      <c r="J41" s="12">
        <v>6</v>
      </c>
      <c r="K41" s="14">
        <v>45361</v>
      </c>
      <c r="L41" s="14">
        <v>45721</v>
      </c>
      <c r="M41" s="12">
        <v>360</v>
      </c>
      <c r="N41" s="12">
        <v>460</v>
      </c>
      <c r="O41" s="12" t="s">
        <v>189</v>
      </c>
      <c r="P41" s="12" t="s">
        <v>34</v>
      </c>
    </row>
    <row r="42" spans="1:16" x14ac:dyDescent="0.3">
      <c r="A42" s="12">
        <v>141</v>
      </c>
      <c r="B42" s="12" t="s">
        <v>190</v>
      </c>
      <c r="C42" s="12" t="s">
        <v>191</v>
      </c>
      <c r="D42" s="12" t="s">
        <v>183</v>
      </c>
      <c r="E42" s="12" t="s">
        <v>192</v>
      </c>
      <c r="F42" s="12">
        <v>982</v>
      </c>
      <c r="G42" s="12" t="s">
        <v>38</v>
      </c>
      <c r="H42" s="12">
        <v>9</v>
      </c>
      <c r="I42" s="12">
        <v>3</v>
      </c>
      <c r="J42" s="12">
        <v>6</v>
      </c>
      <c r="K42" s="14">
        <v>45362</v>
      </c>
      <c r="L42" s="14">
        <v>45733</v>
      </c>
      <c r="M42" s="12">
        <v>371</v>
      </c>
      <c r="N42" s="12">
        <v>480</v>
      </c>
      <c r="O42" s="12" t="s">
        <v>193</v>
      </c>
      <c r="P42" s="12" t="s">
        <v>22</v>
      </c>
    </row>
    <row r="43" spans="1:16" x14ac:dyDescent="0.3">
      <c r="A43" s="12">
        <v>142</v>
      </c>
      <c r="B43" s="12" t="s">
        <v>194</v>
      </c>
      <c r="C43" s="12" t="s">
        <v>195</v>
      </c>
      <c r="D43" s="12" t="s">
        <v>183</v>
      </c>
      <c r="E43" s="12" t="s">
        <v>196</v>
      </c>
      <c r="F43" s="12">
        <v>389</v>
      </c>
      <c r="G43" s="12" t="s">
        <v>32</v>
      </c>
      <c r="H43" s="12">
        <v>8</v>
      </c>
      <c r="I43" s="12">
        <v>2</v>
      </c>
      <c r="J43" s="12">
        <v>6</v>
      </c>
      <c r="K43" s="14">
        <v>45363</v>
      </c>
      <c r="L43" s="14">
        <v>45744</v>
      </c>
      <c r="M43" s="12">
        <v>381</v>
      </c>
      <c r="N43" s="12">
        <v>300</v>
      </c>
      <c r="O43" s="12" t="s">
        <v>197</v>
      </c>
      <c r="P43" s="12" t="s">
        <v>34</v>
      </c>
    </row>
    <row r="44" spans="1:16" x14ac:dyDescent="0.3">
      <c r="A44" s="12">
        <v>143</v>
      </c>
      <c r="B44" s="12" t="s">
        <v>198</v>
      </c>
      <c r="C44" s="12" t="s">
        <v>199</v>
      </c>
      <c r="D44" s="12" t="s">
        <v>183</v>
      </c>
      <c r="E44" s="12" t="s">
        <v>200</v>
      </c>
      <c r="F44" s="12">
        <v>886</v>
      </c>
      <c r="G44" s="12" t="s">
        <v>26</v>
      </c>
      <c r="H44" s="12">
        <v>7</v>
      </c>
      <c r="I44" s="12">
        <v>1</v>
      </c>
      <c r="J44" s="12">
        <v>6</v>
      </c>
      <c r="K44" s="14">
        <v>45364</v>
      </c>
      <c r="L44" s="14">
        <v>45751</v>
      </c>
      <c r="M44" s="12">
        <v>387</v>
      </c>
      <c r="N44" s="12">
        <v>200</v>
      </c>
      <c r="O44" s="12" t="s">
        <v>201</v>
      </c>
      <c r="P44" s="12" t="s">
        <v>28</v>
      </c>
    </row>
    <row r="45" spans="1:16" x14ac:dyDescent="0.3">
      <c r="A45" s="12">
        <v>144</v>
      </c>
      <c r="B45" s="12" t="s">
        <v>202</v>
      </c>
      <c r="C45" s="12" t="s">
        <v>203</v>
      </c>
      <c r="D45" s="12" t="s">
        <v>183</v>
      </c>
      <c r="E45" s="12" t="s">
        <v>204</v>
      </c>
      <c r="F45" s="12">
        <v>762</v>
      </c>
      <c r="G45" s="12" t="s">
        <v>20</v>
      </c>
      <c r="H45" s="12">
        <v>6</v>
      </c>
      <c r="I45" s="12">
        <v>2</v>
      </c>
      <c r="J45" s="12">
        <v>4</v>
      </c>
      <c r="K45" s="14">
        <v>45365</v>
      </c>
      <c r="L45" s="14">
        <v>45763</v>
      </c>
      <c r="M45" s="12">
        <v>398</v>
      </c>
      <c r="N45" s="12">
        <v>180</v>
      </c>
      <c r="O45" s="12" t="s">
        <v>205</v>
      </c>
      <c r="P45" s="12" t="s">
        <v>107</v>
      </c>
    </row>
    <row r="46" spans="1:16" x14ac:dyDescent="0.3">
      <c r="A46" s="12">
        <v>145</v>
      </c>
      <c r="B46" s="12" t="s">
        <v>206</v>
      </c>
      <c r="C46" s="12" t="s">
        <v>207</v>
      </c>
      <c r="D46" s="12" t="s">
        <v>183</v>
      </c>
      <c r="E46" s="12" t="s">
        <v>208</v>
      </c>
      <c r="F46" s="12">
        <v>766</v>
      </c>
      <c r="G46" s="12" t="s">
        <v>65</v>
      </c>
      <c r="H46" s="12">
        <v>5</v>
      </c>
      <c r="I46" s="12">
        <v>1</v>
      </c>
      <c r="J46" s="12">
        <v>4</v>
      </c>
      <c r="K46" s="14">
        <v>45366</v>
      </c>
      <c r="L46" s="14">
        <v>45776</v>
      </c>
      <c r="M46" s="12">
        <v>410</v>
      </c>
      <c r="N46" s="12">
        <v>360</v>
      </c>
      <c r="O46" s="12" t="s">
        <v>209</v>
      </c>
      <c r="P46" s="12" t="s">
        <v>28</v>
      </c>
    </row>
    <row r="47" spans="1:16" x14ac:dyDescent="0.3">
      <c r="A47" s="12">
        <v>146</v>
      </c>
      <c r="B47" s="12" t="s">
        <v>210</v>
      </c>
      <c r="C47" s="12" t="s">
        <v>211</v>
      </c>
      <c r="D47" s="12" t="s">
        <v>183</v>
      </c>
      <c r="E47" s="12" t="s">
        <v>212</v>
      </c>
      <c r="F47" s="12">
        <v>443</v>
      </c>
      <c r="G47" s="12" t="s">
        <v>38</v>
      </c>
      <c r="H47" s="12">
        <v>4</v>
      </c>
      <c r="I47" s="12">
        <v>1</v>
      </c>
      <c r="J47" s="12">
        <v>3</v>
      </c>
      <c r="K47" s="14">
        <v>45367</v>
      </c>
      <c r="L47" s="14">
        <v>45782</v>
      </c>
      <c r="M47" s="12">
        <v>415</v>
      </c>
      <c r="N47" s="12">
        <v>240</v>
      </c>
      <c r="O47" s="12" t="s">
        <v>213</v>
      </c>
      <c r="P47" s="12" t="s">
        <v>22</v>
      </c>
    </row>
    <row r="48" spans="1:16" x14ac:dyDescent="0.3">
      <c r="A48" s="12">
        <v>147</v>
      </c>
      <c r="B48" s="12" t="s">
        <v>214</v>
      </c>
      <c r="C48" s="12" t="s">
        <v>215</v>
      </c>
      <c r="D48" s="12" t="s">
        <v>183</v>
      </c>
      <c r="E48" s="12" t="s">
        <v>216</v>
      </c>
      <c r="F48" s="12">
        <v>704</v>
      </c>
      <c r="G48" s="12" t="s">
        <v>32</v>
      </c>
      <c r="H48" s="12">
        <v>3</v>
      </c>
      <c r="I48" s="12">
        <v>1</v>
      </c>
      <c r="J48" s="12">
        <v>2</v>
      </c>
      <c r="K48" s="14">
        <v>45368</v>
      </c>
      <c r="L48" s="14">
        <v>45795</v>
      </c>
      <c r="M48" s="12">
        <v>427</v>
      </c>
      <c r="N48" s="12">
        <v>400</v>
      </c>
      <c r="O48" s="12" t="s">
        <v>217</v>
      </c>
      <c r="P48" s="12" t="s">
        <v>34</v>
      </c>
    </row>
    <row r="49" spans="1:16" x14ac:dyDescent="0.3">
      <c r="A49" s="12">
        <v>148</v>
      </c>
      <c r="B49" s="12" t="s">
        <v>218</v>
      </c>
      <c r="C49" s="12" t="s">
        <v>219</v>
      </c>
      <c r="D49" s="12" t="s">
        <v>183</v>
      </c>
      <c r="E49" s="12" t="s">
        <v>220</v>
      </c>
      <c r="F49" s="12">
        <v>330</v>
      </c>
      <c r="G49" s="12" t="s">
        <v>32</v>
      </c>
      <c r="H49" s="12">
        <v>2</v>
      </c>
      <c r="I49" s="12">
        <v>1</v>
      </c>
      <c r="J49" s="12">
        <v>1</v>
      </c>
      <c r="K49" s="14">
        <v>45369</v>
      </c>
      <c r="L49" s="14">
        <v>45807</v>
      </c>
      <c r="M49" s="12">
        <v>438</v>
      </c>
      <c r="N49" s="12">
        <v>320</v>
      </c>
      <c r="O49" s="12" t="s">
        <v>221</v>
      </c>
      <c r="P49" s="12" t="s">
        <v>28</v>
      </c>
    </row>
    <row r="50" spans="1:16" x14ac:dyDescent="0.3">
      <c r="A50" s="12">
        <v>149</v>
      </c>
      <c r="B50" s="12" t="s">
        <v>222</v>
      </c>
      <c r="C50" s="12" t="s">
        <v>223</v>
      </c>
      <c r="D50" s="12" t="s">
        <v>183</v>
      </c>
      <c r="E50" s="12" t="s">
        <v>224</v>
      </c>
      <c r="F50" s="12">
        <v>684</v>
      </c>
      <c r="G50" s="12" t="s">
        <v>20</v>
      </c>
      <c r="H50" s="12">
        <v>49</v>
      </c>
      <c r="I50" s="12">
        <v>36</v>
      </c>
      <c r="J50" s="12">
        <v>13</v>
      </c>
      <c r="K50" s="14">
        <v>45370</v>
      </c>
      <c r="L50" s="14">
        <v>45811</v>
      </c>
      <c r="M50" s="12">
        <v>441</v>
      </c>
      <c r="N50" s="12">
        <v>280</v>
      </c>
      <c r="O50" s="12" t="s">
        <v>225</v>
      </c>
      <c r="P50" s="12" t="s">
        <v>28</v>
      </c>
    </row>
    <row r="51" spans="1:16" x14ac:dyDescent="0.3">
      <c r="A51" s="12">
        <v>150</v>
      </c>
      <c r="B51" s="12" t="s">
        <v>226</v>
      </c>
      <c r="C51" s="12" t="s">
        <v>227</v>
      </c>
      <c r="D51" s="12" t="s">
        <v>183</v>
      </c>
      <c r="E51" s="12" t="s">
        <v>228</v>
      </c>
      <c r="F51" s="12">
        <v>846</v>
      </c>
      <c r="G51" s="12" t="s">
        <v>38</v>
      </c>
      <c r="H51" s="12">
        <v>48</v>
      </c>
      <c r="I51" s="12">
        <v>40</v>
      </c>
      <c r="J51" s="12">
        <v>8</v>
      </c>
      <c r="K51" s="14">
        <v>45371</v>
      </c>
      <c r="L51" s="14">
        <v>45823</v>
      </c>
      <c r="M51" s="12">
        <v>452</v>
      </c>
      <c r="N51" s="12">
        <v>440</v>
      </c>
      <c r="O51" s="12" t="s">
        <v>229</v>
      </c>
      <c r="P51" s="12" t="s">
        <v>28</v>
      </c>
    </row>
    <row r="52" spans="1:16" x14ac:dyDescent="0.3">
      <c r="A52" s="12">
        <v>151</v>
      </c>
      <c r="B52" s="12" t="s">
        <v>230</v>
      </c>
      <c r="C52" s="12" t="s">
        <v>231</v>
      </c>
      <c r="D52" s="12" t="s">
        <v>232</v>
      </c>
      <c r="E52" s="12" t="s">
        <v>233</v>
      </c>
      <c r="F52" s="12">
        <v>220</v>
      </c>
      <c r="G52" s="12" t="s">
        <v>26</v>
      </c>
      <c r="H52" s="12">
        <v>47</v>
      </c>
      <c r="I52" s="12">
        <v>39</v>
      </c>
      <c r="J52" s="12">
        <v>8</v>
      </c>
      <c r="K52" s="14">
        <v>45372</v>
      </c>
      <c r="L52" s="14">
        <v>45835</v>
      </c>
      <c r="M52" s="12">
        <v>463</v>
      </c>
      <c r="N52" s="12">
        <v>380</v>
      </c>
      <c r="O52" s="12" t="s">
        <v>234</v>
      </c>
      <c r="P52" s="12" t="s">
        <v>34</v>
      </c>
    </row>
    <row r="53" spans="1:16" x14ac:dyDescent="0.3">
      <c r="A53" s="12">
        <v>152</v>
      </c>
      <c r="B53" s="12" t="s">
        <v>235</v>
      </c>
      <c r="C53" s="12" t="s">
        <v>236</v>
      </c>
      <c r="D53" s="12" t="s">
        <v>232</v>
      </c>
      <c r="E53" s="12" t="s">
        <v>237</v>
      </c>
      <c r="F53" s="12">
        <v>366</v>
      </c>
      <c r="G53" s="12" t="s">
        <v>38</v>
      </c>
      <c r="H53" s="12">
        <v>46</v>
      </c>
      <c r="I53" s="12">
        <v>41</v>
      </c>
      <c r="J53" s="12">
        <v>5</v>
      </c>
      <c r="K53" s="14">
        <v>45373</v>
      </c>
      <c r="L53" s="14">
        <v>45842</v>
      </c>
      <c r="M53" s="12">
        <v>469</v>
      </c>
      <c r="N53" s="12">
        <v>260</v>
      </c>
      <c r="O53" s="12" t="s">
        <v>238</v>
      </c>
      <c r="P53" s="12" t="s">
        <v>34</v>
      </c>
    </row>
    <row r="54" spans="1:16" x14ac:dyDescent="0.3">
      <c r="A54" s="12">
        <v>153</v>
      </c>
      <c r="B54" s="12" t="s">
        <v>239</v>
      </c>
      <c r="C54" s="12" t="s">
        <v>240</v>
      </c>
      <c r="D54" s="12" t="s">
        <v>232</v>
      </c>
      <c r="E54" s="12" t="s">
        <v>241</v>
      </c>
      <c r="F54" s="12">
        <v>473</v>
      </c>
      <c r="G54" s="12" t="s">
        <v>20</v>
      </c>
      <c r="H54" s="12">
        <v>45</v>
      </c>
      <c r="I54" s="12">
        <v>38</v>
      </c>
      <c r="J54" s="12">
        <v>7</v>
      </c>
      <c r="K54" s="14">
        <v>45374</v>
      </c>
      <c r="L54" s="14">
        <v>45855</v>
      </c>
      <c r="M54" s="12">
        <v>481</v>
      </c>
      <c r="N54" s="12">
        <v>420</v>
      </c>
      <c r="O54" s="12" t="s">
        <v>242</v>
      </c>
      <c r="P54" s="12" t="s">
        <v>34</v>
      </c>
    </row>
    <row r="55" spans="1:16" x14ac:dyDescent="0.3">
      <c r="A55" s="12">
        <v>154</v>
      </c>
      <c r="B55" s="12" t="s">
        <v>243</v>
      </c>
      <c r="C55" s="12" t="s">
        <v>244</v>
      </c>
      <c r="D55" s="12" t="s">
        <v>232</v>
      </c>
      <c r="E55" s="12" t="s">
        <v>245</v>
      </c>
      <c r="F55" s="12">
        <v>587</v>
      </c>
      <c r="G55" s="12" t="s">
        <v>20</v>
      </c>
      <c r="H55" s="12">
        <v>44</v>
      </c>
      <c r="I55" s="12">
        <v>33</v>
      </c>
      <c r="J55" s="12">
        <v>11</v>
      </c>
      <c r="K55" s="14">
        <v>45375</v>
      </c>
      <c r="L55" s="14">
        <v>45868</v>
      </c>
      <c r="M55" s="12">
        <v>493</v>
      </c>
      <c r="N55" s="12">
        <v>300</v>
      </c>
      <c r="O55" s="12" t="s">
        <v>246</v>
      </c>
      <c r="P55" s="12" t="s">
        <v>28</v>
      </c>
    </row>
    <row r="56" spans="1:16" x14ac:dyDescent="0.3">
      <c r="A56" s="12">
        <v>155</v>
      </c>
      <c r="B56" s="12" t="s">
        <v>247</v>
      </c>
      <c r="C56" s="12" t="s">
        <v>248</v>
      </c>
      <c r="D56" s="12" t="s">
        <v>232</v>
      </c>
      <c r="E56" s="12" t="s">
        <v>249</v>
      </c>
      <c r="F56" s="12">
        <v>800</v>
      </c>
      <c r="G56" s="12" t="s">
        <v>38</v>
      </c>
      <c r="H56" s="12">
        <v>43</v>
      </c>
      <c r="I56" s="12">
        <v>32</v>
      </c>
      <c r="J56" s="12">
        <v>11</v>
      </c>
      <c r="K56" s="14">
        <v>45376</v>
      </c>
      <c r="L56" s="14">
        <v>45871</v>
      </c>
      <c r="M56" s="12">
        <v>495</v>
      </c>
      <c r="N56" s="12">
        <v>120</v>
      </c>
      <c r="O56" s="12" t="s">
        <v>250</v>
      </c>
      <c r="P56" s="12" t="s">
        <v>22</v>
      </c>
    </row>
    <row r="57" spans="1:16" x14ac:dyDescent="0.3">
      <c r="A57" s="12">
        <v>156</v>
      </c>
      <c r="B57" s="12" t="s">
        <v>251</v>
      </c>
      <c r="C57" s="12" t="s">
        <v>252</v>
      </c>
      <c r="D57" s="12" t="s">
        <v>232</v>
      </c>
      <c r="E57" s="12" t="s">
        <v>253</v>
      </c>
      <c r="F57" s="12">
        <v>515</v>
      </c>
      <c r="G57" s="12" t="s">
        <v>20</v>
      </c>
      <c r="H57" s="12">
        <v>42</v>
      </c>
      <c r="I57" s="12">
        <v>31</v>
      </c>
      <c r="J57" s="12">
        <v>11</v>
      </c>
      <c r="K57" s="14">
        <v>45377</v>
      </c>
      <c r="L57" s="14">
        <v>45885</v>
      </c>
      <c r="M57" s="12">
        <v>508</v>
      </c>
      <c r="N57" s="12">
        <v>160</v>
      </c>
      <c r="O57" s="12" t="s">
        <v>254</v>
      </c>
      <c r="P57" s="12" t="s">
        <v>28</v>
      </c>
    </row>
    <row r="58" spans="1:16" x14ac:dyDescent="0.3">
      <c r="A58" s="12">
        <v>157</v>
      </c>
      <c r="B58" s="12" t="s">
        <v>255</v>
      </c>
      <c r="C58" s="12" t="s">
        <v>256</v>
      </c>
      <c r="D58" s="12" t="s">
        <v>232</v>
      </c>
      <c r="E58" s="12" t="s">
        <v>257</v>
      </c>
      <c r="F58" s="12">
        <v>213</v>
      </c>
      <c r="G58" s="12" t="s">
        <v>38</v>
      </c>
      <c r="H58" s="12">
        <v>41</v>
      </c>
      <c r="I58" s="12">
        <v>29</v>
      </c>
      <c r="J58" s="12">
        <v>12</v>
      </c>
      <c r="K58" s="14">
        <v>45378</v>
      </c>
      <c r="L58" s="14">
        <v>45897</v>
      </c>
      <c r="M58" s="12">
        <v>519</v>
      </c>
      <c r="N58" s="12">
        <v>280</v>
      </c>
      <c r="O58" s="12" t="s">
        <v>258</v>
      </c>
      <c r="P58" s="12" t="s">
        <v>34</v>
      </c>
    </row>
    <row r="59" spans="1:16" x14ac:dyDescent="0.3">
      <c r="A59" s="12">
        <v>158</v>
      </c>
      <c r="B59" s="12" t="s">
        <v>259</v>
      </c>
      <c r="C59" s="12" t="s">
        <v>260</v>
      </c>
      <c r="D59" s="12" t="s">
        <v>232</v>
      </c>
      <c r="E59" s="12" t="s">
        <v>261</v>
      </c>
      <c r="F59" s="12">
        <v>441</v>
      </c>
      <c r="G59" s="12" t="s">
        <v>65</v>
      </c>
      <c r="H59" s="12">
        <v>40</v>
      </c>
      <c r="I59" s="12">
        <v>27</v>
      </c>
      <c r="J59" s="12">
        <v>13</v>
      </c>
      <c r="K59" s="14">
        <v>45379</v>
      </c>
      <c r="L59" s="14">
        <v>45905</v>
      </c>
      <c r="M59" s="12">
        <v>526</v>
      </c>
      <c r="N59" s="12">
        <v>180</v>
      </c>
      <c r="O59" s="12" t="s">
        <v>262</v>
      </c>
      <c r="P59" s="12" t="s">
        <v>22</v>
      </c>
    </row>
    <row r="60" spans="1:16" x14ac:dyDescent="0.3">
      <c r="A60" s="12">
        <v>159</v>
      </c>
      <c r="B60" s="12" t="s">
        <v>263</v>
      </c>
      <c r="C60" s="12" t="s">
        <v>264</v>
      </c>
      <c r="D60" s="12" t="s">
        <v>232</v>
      </c>
      <c r="E60" s="12" t="s">
        <v>265</v>
      </c>
      <c r="F60" s="12">
        <v>976</v>
      </c>
      <c r="G60" s="12" t="s">
        <v>38</v>
      </c>
      <c r="H60" s="12">
        <v>39</v>
      </c>
      <c r="I60" s="12">
        <v>25</v>
      </c>
      <c r="J60" s="12">
        <v>14</v>
      </c>
      <c r="K60" s="14">
        <v>45380</v>
      </c>
      <c r="L60" s="14">
        <v>45918</v>
      </c>
      <c r="M60" s="12">
        <v>538</v>
      </c>
      <c r="N60" s="12">
        <v>200</v>
      </c>
      <c r="O60" s="12" t="s">
        <v>266</v>
      </c>
      <c r="P60" s="12" t="s">
        <v>28</v>
      </c>
    </row>
    <row r="61" spans="1:16" x14ac:dyDescent="0.3">
      <c r="A61" s="12">
        <v>160</v>
      </c>
      <c r="B61" s="12" t="s">
        <v>267</v>
      </c>
      <c r="C61" s="12" t="s">
        <v>268</v>
      </c>
      <c r="D61" s="12" t="s">
        <v>232</v>
      </c>
      <c r="E61" s="12" t="s">
        <v>269</v>
      </c>
      <c r="F61" s="12">
        <v>545</v>
      </c>
      <c r="G61" s="12" t="s">
        <v>38</v>
      </c>
      <c r="H61" s="12">
        <v>38</v>
      </c>
      <c r="I61" s="12">
        <v>23</v>
      </c>
      <c r="J61" s="12">
        <v>15</v>
      </c>
      <c r="K61" s="14">
        <v>45381</v>
      </c>
      <c r="L61" s="14">
        <v>45930</v>
      </c>
      <c r="M61" s="12">
        <v>549</v>
      </c>
      <c r="N61" s="12">
        <v>120</v>
      </c>
      <c r="O61" s="12" t="s">
        <v>270</v>
      </c>
      <c r="P61" s="12" t="s">
        <v>28</v>
      </c>
    </row>
    <row r="62" spans="1:16" x14ac:dyDescent="0.3">
      <c r="A62" s="12">
        <v>161</v>
      </c>
      <c r="B62" s="12" t="s">
        <v>271</v>
      </c>
      <c r="C62" s="12" t="s">
        <v>272</v>
      </c>
      <c r="D62" s="12" t="s">
        <v>271</v>
      </c>
      <c r="E62" s="12" t="s">
        <v>273</v>
      </c>
      <c r="F62" s="12">
        <v>764</v>
      </c>
      <c r="G62" s="12" t="s">
        <v>20</v>
      </c>
      <c r="H62" s="12">
        <v>37</v>
      </c>
      <c r="I62" s="12">
        <v>22</v>
      </c>
      <c r="J62" s="12">
        <v>15</v>
      </c>
      <c r="K62" s="14">
        <v>45382</v>
      </c>
      <c r="L62" s="14">
        <v>45934</v>
      </c>
      <c r="M62" s="12">
        <v>552</v>
      </c>
      <c r="N62" s="12">
        <v>140</v>
      </c>
      <c r="O62" s="12" t="s">
        <v>274</v>
      </c>
      <c r="P62" s="12" t="s">
        <v>34</v>
      </c>
    </row>
    <row r="63" spans="1:16" x14ac:dyDescent="0.3">
      <c r="A63" s="12">
        <v>162</v>
      </c>
      <c r="B63" s="12" t="s">
        <v>275</v>
      </c>
      <c r="C63" s="12" t="s">
        <v>276</v>
      </c>
      <c r="D63" s="12" t="s">
        <v>271</v>
      </c>
      <c r="E63" s="12" t="s">
        <v>277</v>
      </c>
      <c r="F63" s="12">
        <v>539</v>
      </c>
      <c r="G63" s="12" t="s">
        <v>20</v>
      </c>
      <c r="H63" s="12">
        <v>36</v>
      </c>
      <c r="I63" s="12">
        <v>20</v>
      </c>
      <c r="J63" s="12">
        <v>16</v>
      </c>
      <c r="K63" s="14">
        <v>45383</v>
      </c>
      <c r="L63" s="14">
        <v>45947</v>
      </c>
      <c r="M63" s="12">
        <v>564</v>
      </c>
      <c r="N63" s="12">
        <v>800</v>
      </c>
      <c r="O63" s="12" t="s">
        <v>278</v>
      </c>
      <c r="P63" s="12" t="s">
        <v>28</v>
      </c>
    </row>
    <row r="64" spans="1:16" x14ac:dyDescent="0.3">
      <c r="A64" s="12">
        <v>163</v>
      </c>
      <c r="B64" s="12" t="s">
        <v>279</v>
      </c>
      <c r="C64" s="12" t="s">
        <v>280</v>
      </c>
      <c r="D64" s="12" t="s">
        <v>271</v>
      </c>
      <c r="E64" s="12" t="s">
        <v>281</v>
      </c>
      <c r="F64" s="12">
        <v>291</v>
      </c>
      <c r="G64" s="12" t="s">
        <v>32</v>
      </c>
      <c r="H64" s="12">
        <v>35</v>
      </c>
      <c r="I64" s="12">
        <v>19</v>
      </c>
      <c r="J64" s="12">
        <v>16</v>
      </c>
      <c r="K64" s="14">
        <v>45384</v>
      </c>
      <c r="L64" s="14">
        <v>45959</v>
      </c>
      <c r="M64" s="12">
        <v>575</v>
      </c>
      <c r="N64" s="12">
        <v>320</v>
      </c>
      <c r="O64" s="12" t="s">
        <v>282</v>
      </c>
      <c r="P64" s="12" t="s">
        <v>34</v>
      </c>
    </row>
    <row r="65" spans="1:16" x14ac:dyDescent="0.3">
      <c r="A65" s="12">
        <v>164</v>
      </c>
      <c r="B65" s="12" t="s">
        <v>283</v>
      </c>
      <c r="C65" s="12" t="s">
        <v>284</v>
      </c>
      <c r="D65" s="12" t="s">
        <v>271</v>
      </c>
      <c r="E65" s="12" t="s">
        <v>285</v>
      </c>
      <c r="F65" s="12">
        <v>566</v>
      </c>
      <c r="G65" s="12" t="s">
        <v>32</v>
      </c>
      <c r="H65" s="12">
        <v>34</v>
      </c>
      <c r="I65" s="12">
        <v>17</v>
      </c>
      <c r="J65" s="12">
        <v>17</v>
      </c>
      <c r="K65" s="14">
        <v>45385</v>
      </c>
      <c r="L65" s="14">
        <v>45964</v>
      </c>
      <c r="M65" s="12">
        <v>579</v>
      </c>
      <c r="N65" s="12">
        <v>240</v>
      </c>
      <c r="O65" s="12" t="s">
        <v>286</v>
      </c>
      <c r="P65" s="12" t="s">
        <v>28</v>
      </c>
    </row>
    <row r="66" spans="1:16" x14ac:dyDescent="0.3">
      <c r="A66" s="12">
        <v>165</v>
      </c>
      <c r="B66" s="12" t="s">
        <v>287</v>
      </c>
      <c r="C66" s="12" t="s">
        <v>288</v>
      </c>
      <c r="D66" s="12" t="s">
        <v>271</v>
      </c>
      <c r="E66" s="12" t="s">
        <v>289</v>
      </c>
      <c r="F66" s="12">
        <v>654</v>
      </c>
      <c r="G66" s="12" t="s">
        <v>65</v>
      </c>
      <c r="H66" s="12">
        <v>33</v>
      </c>
      <c r="I66" s="12">
        <v>15</v>
      </c>
      <c r="J66" s="12">
        <v>18</v>
      </c>
      <c r="K66" s="14">
        <v>45386</v>
      </c>
      <c r="L66" s="14">
        <v>45976</v>
      </c>
      <c r="M66" s="12">
        <v>590</v>
      </c>
      <c r="N66" s="12">
        <v>300</v>
      </c>
      <c r="O66" s="12" t="s">
        <v>290</v>
      </c>
      <c r="P66" s="12" t="s">
        <v>22</v>
      </c>
    </row>
    <row r="67" spans="1:16" x14ac:dyDescent="0.3">
      <c r="A67" s="12">
        <v>166</v>
      </c>
      <c r="B67" s="12" t="s">
        <v>291</v>
      </c>
      <c r="C67" s="12" t="s">
        <v>292</v>
      </c>
      <c r="D67" s="12" t="s">
        <v>271</v>
      </c>
      <c r="E67" s="12" t="s">
        <v>293</v>
      </c>
      <c r="F67" s="12">
        <v>627</v>
      </c>
      <c r="G67" s="12" t="s">
        <v>32</v>
      </c>
      <c r="H67" s="12">
        <v>32</v>
      </c>
      <c r="I67" s="12">
        <v>14</v>
      </c>
      <c r="J67" s="12">
        <v>18</v>
      </c>
      <c r="K67" s="14">
        <v>45387</v>
      </c>
      <c r="L67" s="14">
        <v>45989</v>
      </c>
      <c r="M67" s="12">
        <v>602</v>
      </c>
      <c r="N67" s="12">
        <v>260</v>
      </c>
      <c r="O67" s="12" t="s">
        <v>294</v>
      </c>
      <c r="P67" s="12" t="s">
        <v>34</v>
      </c>
    </row>
    <row r="68" spans="1:16" x14ac:dyDescent="0.3">
      <c r="A68" s="12">
        <v>167</v>
      </c>
      <c r="B68" s="12" t="s">
        <v>295</v>
      </c>
      <c r="C68" s="12" t="s">
        <v>296</v>
      </c>
      <c r="D68" s="12" t="s">
        <v>271</v>
      </c>
      <c r="E68" s="12" t="s">
        <v>297</v>
      </c>
      <c r="F68" s="12">
        <v>708</v>
      </c>
      <c r="G68" s="12" t="s">
        <v>38</v>
      </c>
      <c r="H68" s="12">
        <v>31</v>
      </c>
      <c r="I68" s="12">
        <v>12</v>
      </c>
      <c r="J68" s="12">
        <v>19</v>
      </c>
      <c r="K68" s="14">
        <v>45388</v>
      </c>
      <c r="L68" s="14">
        <v>45996</v>
      </c>
      <c r="M68" s="12">
        <v>608</v>
      </c>
      <c r="N68" s="12">
        <v>200</v>
      </c>
      <c r="O68" s="12" t="s">
        <v>298</v>
      </c>
      <c r="P68" s="12" t="s">
        <v>28</v>
      </c>
    </row>
    <row r="69" spans="1:16" x14ac:dyDescent="0.3">
      <c r="A69" s="12">
        <v>168</v>
      </c>
      <c r="B69" s="12" t="s">
        <v>299</v>
      </c>
      <c r="C69" s="12" t="s">
        <v>300</v>
      </c>
      <c r="D69" s="12" t="s">
        <v>271</v>
      </c>
      <c r="E69" s="12" t="s">
        <v>301</v>
      </c>
      <c r="F69" s="12">
        <v>975</v>
      </c>
      <c r="G69" s="12" t="s">
        <v>20</v>
      </c>
      <c r="H69" s="12">
        <v>30</v>
      </c>
      <c r="I69" s="12">
        <v>23</v>
      </c>
      <c r="J69" s="12">
        <v>7</v>
      </c>
      <c r="K69" s="14">
        <v>45389</v>
      </c>
      <c r="L69" s="14">
        <v>46009</v>
      </c>
      <c r="M69" s="12">
        <v>620</v>
      </c>
      <c r="N69" s="12">
        <v>180</v>
      </c>
      <c r="O69" s="12" t="s">
        <v>119</v>
      </c>
      <c r="P69" s="12" t="s">
        <v>34</v>
      </c>
    </row>
    <row r="70" spans="1:16" x14ac:dyDescent="0.3">
      <c r="A70" s="12">
        <v>169</v>
      </c>
      <c r="B70" s="12" t="s">
        <v>302</v>
      </c>
      <c r="C70" s="12" t="s">
        <v>303</v>
      </c>
      <c r="D70" s="12" t="s">
        <v>271</v>
      </c>
      <c r="E70" s="12" t="s">
        <v>304</v>
      </c>
      <c r="F70" s="12">
        <v>234</v>
      </c>
      <c r="G70" s="12" t="s">
        <v>32</v>
      </c>
      <c r="H70" s="12">
        <v>29</v>
      </c>
      <c r="I70" s="12">
        <v>12</v>
      </c>
      <c r="J70" s="12">
        <v>17</v>
      </c>
      <c r="K70" s="14">
        <v>45390</v>
      </c>
      <c r="L70" s="14">
        <v>46021</v>
      </c>
      <c r="M70" s="12">
        <v>631</v>
      </c>
      <c r="N70" s="12">
        <v>100</v>
      </c>
      <c r="O70" s="12" t="s">
        <v>305</v>
      </c>
      <c r="P70" s="12" t="s">
        <v>28</v>
      </c>
    </row>
    <row r="71" spans="1:16" x14ac:dyDescent="0.3">
      <c r="A71" s="12">
        <v>170</v>
      </c>
      <c r="B71" s="12" t="s">
        <v>306</v>
      </c>
      <c r="C71" s="12" t="s">
        <v>307</v>
      </c>
      <c r="D71" s="12" t="s">
        <v>271</v>
      </c>
      <c r="E71" s="12" t="s">
        <v>308</v>
      </c>
      <c r="F71" s="12">
        <v>405</v>
      </c>
      <c r="G71" s="12" t="s">
        <v>32</v>
      </c>
      <c r="H71" s="12">
        <v>28</v>
      </c>
      <c r="I71" s="12">
        <v>23</v>
      </c>
      <c r="J71" s="12">
        <v>5</v>
      </c>
      <c r="K71" s="14">
        <v>45391</v>
      </c>
      <c r="L71" s="14">
        <v>46025</v>
      </c>
      <c r="M71" s="12">
        <v>634</v>
      </c>
      <c r="N71" s="12">
        <v>220</v>
      </c>
      <c r="O71" s="12" t="s">
        <v>309</v>
      </c>
      <c r="P71" s="12" t="s">
        <v>28</v>
      </c>
    </row>
    <row r="72" spans="1:16" x14ac:dyDescent="0.3">
      <c r="A72" s="12">
        <v>171</v>
      </c>
      <c r="B72" s="12" t="s">
        <v>310</v>
      </c>
      <c r="C72" s="12" t="s">
        <v>311</v>
      </c>
      <c r="D72" s="12" t="s">
        <v>310</v>
      </c>
      <c r="E72" s="12" t="s">
        <v>312</v>
      </c>
      <c r="F72" s="12">
        <v>280</v>
      </c>
      <c r="G72" s="12" t="s">
        <v>65</v>
      </c>
      <c r="H72" s="12">
        <v>27</v>
      </c>
      <c r="I72" s="12">
        <v>12</v>
      </c>
      <c r="J72" s="12">
        <v>15</v>
      </c>
      <c r="K72" s="14">
        <v>45392</v>
      </c>
      <c r="L72" s="14">
        <v>46038</v>
      </c>
      <c r="M72" s="12">
        <v>646</v>
      </c>
      <c r="N72" s="12">
        <v>280</v>
      </c>
      <c r="O72" s="12" t="s">
        <v>106</v>
      </c>
      <c r="P72" s="12" t="s">
        <v>28</v>
      </c>
    </row>
    <row r="73" spans="1:16" x14ac:dyDescent="0.3">
      <c r="A73" s="12">
        <v>172</v>
      </c>
      <c r="B73" s="12" t="s">
        <v>313</v>
      </c>
      <c r="C73" s="12" t="s">
        <v>314</v>
      </c>
      <c r="D73" s="12" t="s">
        <v>310</v>
      </c>
      <c r="E73" s="12" t="s">
        <v>315</v>
      </c>
      <c r="F73" s="12">
        <v>761</v>
      </c>
      <c r="G73" s="12" t="s">
        <v>65</v>
      </c>
      <c r="H73" s="12">
        <v>26</v>
      </c>
      <c r="I73" s="12">
        <v>13</v>
      </c>
      <c r="J73" s="12">
        <v>13</v>
      </c>
      <c r="K73" s="14">
        <v>45393</v>
      </c>
      <c r="L73" s="14">
        <v>46050</v>
      </c>
      <c r="M73" s="12">
        <v>657</v>
      </c>
      <c r="N73" s="12">
        <v>320</v>
      </c>
      <c r="O73" s="12" t="s">
        <v>316</v>
      </c>
      <c r="P73" s="12" t="s">
        <v>28</v>
      </c>
    </row>
    <row r="74" spans="1:16" x14ac:dyDescent="0.3">
      <c r="A74" s="12">
        <v>173</v>
      </c>
      <c r="B74" s="12" t="s">
        <v>317</v>
      </c>
      <c r="C74" s="12" t="s">
        <v>318</v>
      </c>
      <c r="D74" s="12" t="s">
        <v>310</v>
      </c>
      <c r="E74" s="12" t="s">
        <v>319</v>
      </c>
      <c r="F74" s="12">
        <v>587</v>
      </c>
      <c r="G74" s="12" t="s">
        <v>38</v>
      </c>
      <c r="H74" s="12">
        <v>25</v>
      </c>
      <c r="I74" s="12">
        <v>23</v>
      </c>
      <c r="J74" s="12">
        <v>2</v>
      </c>
      <c r="K74" s="14">
        <v>45394</v>
      </c>
      <c r="L74" s="14">
        <v>46058</v>
      </c>
      <c r="M74" s="12">
        <v>664</v>
      </c>
      <c r="N74" s="12">
        <v>360</v>
      </c>
      <c r="O74" s="12" t="s">
        <v>320</v>
      </c>
      <c r="P74" s="12" t="s">
        <v>28</v>
      </c>
    </row>
    <row r="75" spans="1:16" x14ac:dyDescent="0.3">
      <c r="A75" s="12">
        <v>174</v>
      </c>
      <c r="B75" s="12" t="s">
        <v>321</v>
      </c>
      <c r="C75" s="12" t="s">
        <v>322</v>
      </c>
      <c r="D75" s="12" t="s">
        <v>310</v>
      </c>
      <c r="E75" s="12" t="s">
        <v>323</v>
      </c>
      <c r="F75" s="12">
        <v>201</v>
      </c>
      <c r="G75" s="12" t="s">
        <v>20</v>
      </c>
      <c r="H75" s="12">
        <v>24</v>
      </c>
      <c r="I75" s="12">
        <v>3</v>
      </c>
      <c r="J75" s="12">
        <v>21</v>
      </c>
      <c r="K75" s="14">
        <v>45395</v>
      </c>
      <c r="L75" s="14">
        <v>46070</v>
      </c>
      <c r="M75" s="12">
        <v>675</v>
      </c>
      <c r="N75" s="12">
        <v>400</v>
      </c>
      <c r="O75" s="12" t="s">
        <v>324</v>
      </c>
      <c r="P75" s="12" t="s">
        <v>28</v>
      </c>
    </row>
    <row r="76" spans="1:16" x14ac:dyDescent="0.3">
      <c r="A76" s="12">
        <v>175</v>
      </c>
      <c r="B76" s="12" t="s">
        <v>325</v>
      </c>
      <c r="C76" s="12" t="s">
        <v>326</v>
      </c>
      <c r="D76" s="12" t="s">
        <v>310</v>
      </c>
      <c r="E76" s="12" t="s">
        <v>327</v>
      </c>
      <c r="F76" s="12">
        <v>589</v>
      </c>
      <c r="G76" s="12" t="s">
        <v>65</v>
      </c>
      <c r="H76" s="12">
        <v>23</v>
      </c>
      <c r="I76" s="12">
        <v>13</v>
      </c>
      <c r="J76" s="12">
        <v>10</v>
      </c>
      <c r="K76" s="14">
        <v>45396</v>
      </c>
      <c r="L76" s="14">
        <v>46080</v>
      </c>
      <c r="M76" s="12">
        <v>684</v>
      </c>
      <c r="N76" s="12">
        <v>420</v>
      </c>
      <c r="O76" s="12" t="s">
        <v>328</v>
      </c>
      <c r="P76" s="12" t="s">
        <v>28</v>
      </c>
    </row>
    <row r="77" spans="1:16" x14ac:dyDescent="0.3">
      <c r="A77" s="12">
        <v>176</v>
      </c>
      <c r="B77" s="12" t="s">
        <v>329</v>
      </c>
      <c r="C77" s="12" t="s">
        <v>330</v>
      </c>
      <c r="D77" s="12" t="s">
        <v>310</v>
      </c>
      <c r="E77" s="12" t="s">
        <v>331</v>
      </c>
      <c r="F77" s="12">
        <v>765</v>
      </c>
      <c r="G77" s="12" t="s">
        <v>32</v>
      </c>
      <c r="H77" s="12">
        <v>22</v>
      </c>
      <c r="I77" s="12">
        <v>13</v>
      </c>
      <c r="J77" s="12">
        <v>9</v>
      </c>
      <c r="K77" s="14">
        <v>45397</v>
      </c>
      <c r="L77" s="14">
        <v>46085</v>
      </c>
      <c r="M77" s="12">
        <v>688</v>
      </c>
      <c r="N77" s="12">
        <v>440</v>
      </c>
      <c r="O77" s="12" t="s">
        <v>332</v>
      </c>
      <c r="P77" s="12" t="s">
        <v>28</v>
      </c>
    </row>
    <row r="78" spans="1:16" x14ac:dyDescent="0.3">
      <c r="A78" s="12">
        <v>177</v>
      </c>
      <c r="B78" s="12" t="s">
        <v>333</v>
      </c>
      <c r="C78" s="12" t="s">
        <v>334</v>
      </c>
      <c r="D78" s="12" t="s">
        <v>310</v>
      </c>
      <c r="E78" s="12" t="s">
        <v>335</v>
      </c>
      <c r="F78" s="12">
        <v>305</v>
      </c>
      <c r="G78" s="12" t="s">
        <v>20</v>
      </c>
      <c r="H78" s="12">
        <v>21</v>
      </c>
      <c r="I78" s="12">
        <v>1</v>
      </c>
      <c r="J78" s="12">
        <v>20</v>
      </c>
      <c r="K78" s="14">
        <v>45398</v>
      </c>
      <c r="L78" s="14">
        <v>46097</v>
      </c>
      <c r="M78" s="12">
        <v>699</v>
      </c>
      <c r="N78" s="12">
        <v>460</v>
      </c>
      <c r="O78" s="12" t="s">
        <v>336</v>
      </c>
      <c r="P78" s="12" t="s">
        <v>28</v>
      </c>
    </row>
    <row r="79" spans="1:16" x14ac:dyDescent="0.3">
      <c r="A79" s="12">
        <v>178</v>
      </c>
      <c r="B79" s="12" t="s">
        <v>337</v>
      </c>
      <c r="C79" s="12" t="s">
        <v>338</v>
      </c>
      <c r="D79" s="12" t="s">
        <v>310</v>
      </c>
      <c r="E79" s="12" t="s">
        <v>339</v>
      </c>
      <c r="F79" s="12">
        <v>971</v>
      </c>
      <c r="G79" s="12" t="s">
        <v>20</v>
      </c>
      <c r="H79" s="12">
        <v>20</v>
      </c>
      <c r="I79" s="12">
        <v>1</v>
      </c>
      <c r="J79" s="12">
        <v>19</v>
      </c>
      <c r="K79" s="14">
        <v>45399</v>
      </c>
      <c r="L79" s="14">
        <v>46109</v>
      </c>
      <c r="M79" s="12">
        <v>710</v>
      </c>
      <c r="N79" s="12">
        <v>480</v>
      </c>
      <c r="O79" s="12" t="s">
        <v>340</v>
      </c>
      <c r="P79" s="12" t="s">
        <v>28</v>
      </c>
    </row>
    <row r="80" spans="1:16" x14ac:dyDescent="0.3">
      <c r="A80" s="12">
        <v>179</v>
      </c>
      <c r="B80" s="12" t="s">
        <v>341</v>
      </c>
      <c r="C80" s="12" t="s">
        <v>342</v>
      </c>
      <c r="D80" s="12" t="s">
        <v>310</v>
      </c>
      <c r="E80" s="12" t="s">
        <v>343</v>
      </c>
      <c r="F80" s="12">
        <v>676</v>
      </c>
      <c r="G80" s="12" t="s">
        <v>32</v>
      </c>
      <c r="H80" s="12">
        <v>19</v>
      </c>
      <c r="I80" s="12">
        <v>2</v>
      </c>
      <c r="J80" s="12">
        <v>17</v>
      </c>
      <c r="K80" s="14">
        <v>45400</v>
      </c>
      <c r="L80" s="14">
        <v>46115</v>
      </c>
      <c r="M80" s="12">
        <v>715</v>
      </c>
      <c r="N80" s="12">
        <v>180</v>
      </c>
      <c r="O80" s="12" t="s">
        <v>344</v>
      </c>
      <c r="P80" s="12" t="s">
        <v>28</v>
      </c>
    </row>
    <row r="81" spans="1:16" x14ac:dyDescent="0.3">
      <c r="A81" s="12">
        <v>180</v>
      </c>
      <c r="B81" s="12" t="s">
        <v>345</v>
      </c>
      <c r="C81" s="12" t="s">
        <v>346</v>
      </c>
      <c r="D81" s="12" t="s">
        <v>310</v>
      </c>
      <c r="E81" s="12" t="s">
        <v>347</v>
      </c>
      <c r="F81" s="12">
        <v>902</v>
      </c>
      <c r="G81" s="12" t="s">
        <v>65</v>
      </c>
      <c r="H81" s="12">
        <v>18</v>
      </c>
      <c r="I81" s="12">
        <v>3</v>
      </c>
      <c r="J81" s="12">
        <v>15</v>
      </c>
      <c r="K81" s="14">
        <v>45401</v>
      </c>
      <c r="L81" s="14">
        <v>46127</v>
      </c>
      <c r="M81" s="12">
        <v>726</v>
      </c>
      <c r="N81" s="12">
        <v>200</v>
      </c>
      <c r="O81" s="12" t="s">
        <v>348</v>
      </c>
      <c r="P81" s="12" t="s">
        <v>28</v>
      </c>
    </row>
    <row r="82" spans="1:16" x14ac:dyDescent="0.3">
      <c r="A82" s="12">
        <v>181</v>
      </c>
      <c r="B82" s="12" t="s">
        <v>349</v>
      </c>
      <c r="C82" s="12" t="s">
        <v>350</v>
      </c>
      <c r="D82" s="12" t="s">
        <v>351</v>
      </c>
      <c r="E82" s="12" t="s">
        <v>352</v>
      </c>
      <c r="F82" s="12">
        <v>601</v>
      </c>
      <c r="G82" s="12" t="s">
        <v>32</v>
      </c>
      <c r="H82" s="12">
        <v>17</v>
      </c>
      <c r="I82" s="12">
        <v>4</v>
      </c>
      <c r="J82" s="12">
        <v>13</v>
      </c>
      <c r="K82" s="14">
        <v>45402</v>
      </c>
      <c r="L82" s="14">
        <v>46141</v>
      </c>
      <c r="M82" s="12">
        <v>739</v>
      </c>
      <c r="N82" s="12">
        <v>240</v>
      </c>
      <c r="O82" s="12" t="s">
        <v>305</v>
      </c>
      <c r="P82" s="12" t="s">
        <v>22</v>
      </c>
    </row>
    <row r="83" spans="1:16" x14ac:dyDescent="0.3">
      <c r="A83" s="12">
        <v>182</v>
      </c>
      <c r="B83" s="12" t="s">
        <v>353</v>
      </c>
      <c r="C83" s="12" t="s">
        <v>354</v>
      </c>
      <c r="D83" s="12" t="s">
        <v>351</v>
      </c>
      <c r="E83" s="12" t="s">
        <v>355</v>
      </c>
      <c r="F83" s="12">
        <v>929</v>
      </c>
      <c r="G83" s="12" t="s">
        <v>20</v>
      </c>
      <c r="H83" s="12">
        <v>16</v>
      </c>
      <c r="I83" s="12">
        <v>5</v>
      </c>
      <c r="J83" s="12">
        <v>11</v>
      </c>
      <c r="K83" s="14">
        <v>45403</v>
      </c>
      <c r="L83" s="14">
        <v>46146</v>
      </c>
      <c r="M83" s="12">
        <v>743</v>
      </c>
      <c r="N83" s="12">
        <v>160</v>
      </c>
      <c r="O83" s="12" t="s">
        <v>356</v>
      </c>
      <c r="P83" s="12" t="s">
        <v>28</v>
      </c>
    </row>
    <row r="84" spans="1:16" x14ac:dyDescent="0.3">
      <c r="A84" s="12">
        <v>183</v>
      </c>
      <c r="B84" s="12" t="s">
        <v>357</v>
      </c>
      <c r="C84" s="12" t="s">
        <v>358</v>
      </c>
      <c r="D84" s="12" t="s">
        <v>351</v>
      </c>
      <c r="E84" s="12" t="s">
        <v>359</v>
      </c>
      <c r="F84" s="12">
        <v>755</v>
      </c>
      <c r="G84" s="12" t="s">
        <v>26</v>
      </c>
      <c r="H84" s="12">
        <v>15</v>
      </c>
      <c r="I84" s="12">
        <v>6</v>
      </c>
      <c r="J84" s="12">
        <v>9</v>
      </c>
      <c r="K84" s="14">
        <v>45404</v>
      </c>
      <c r="L84" s="14">
        <v>46160</v>
      </c>
      <c r="M84" s="12">
        <v>756</v>
      </c>
      <c r="N84" s="12">
        <v>280</v>
      </c>
      <c r="O84" s="12" t="s">
        <v>360</v>
      </c>
      <c r="P84" s="12" t="s">
        <v>34</v>
      </c>
    </row>
    <row r="85" spans="1:16" x14ac:dyDescent="0.3">
      <c r="A85" s="12">
        <v>184</v>
      </c>
      <c r="B85" s="12" t="s">
        <v>361</v>
      </c>
      <c r="C85" s="12" t="s">
        <v>362</v>
      </c>
      <c r="D85" s="12" t="s">
        <v>351</v>
      </c>
      <c r="E85" s="12" t="s">
        <v>363</v>
      </c>
      <c r="F85" s="12">
        <v>361</v>
      </c>
      <c r="G85" s="12" t="s">
        <v>26</v>
      </c>
      <c r="H85" s="12">
        <v>14</v>
      </c>
      <c r="I85" s="12">
        <v>7</v>
      </c>
      <c r="J85" s="12">
        <v>7</v>
      </c>
      <c r="K85" s="14">
        <v>45405</v>
      </c>
      <c r="L85" s="14">
        <v>46172</v>
      </c>
      <c r="M85" s="12">
        <v>767</v>
      </c>
      <c r="N85" s="12">
        <v>300</v>
      </c>
      <c r="O85" s="12" t="s">
        <v>131</v>
      </c>
      <c r="P85" s="12" t="s">
        <v>28</v>
      </c>
    </row>
    <row r="86" spans="1:16" x14ac:dyDescent="0.3">
      <c r="A86" s="12">
        <v>185</v>
      </c>
      <c r="B86" s="12" t="s">
        <v>364</v>
      </c>
      <c r="C86" s="12" t="s">
        <v>365</v>
      </c>
      <c r="D86" s="12" t="s">
        <v>351</v>
      </c>
      <c r="E86" s="12" t="s">
        <v>366</v>
      </c>
      <c r="F86" s="12">
        <v>401</v>
      </c>
      <c r="G86" s="12" t="s">
        <v>38</v>
      </c>
      <c r="H86" s="12">
        <v>13</v>
      </c>
      <c r="I86" s="12">
        <v>8</v>
      </c>
      <c r="J86" s="12">
        <v>5</v>
      </c>
      <c r="K86" s="14">
        <v>45406</v>
      </c>
      <c r="L86" s="14">
        <v>46175</v>
      </c>
      <c r="M86" s="12">
        <v>769</v>
      </c>
      <c r="N86" s="12">
        <v>340</v>
      </c>
      <c r="O86" s="12" t="s">
        <v>367</v>
      </c>
      <c r="P86" s="12" t="s">
        <v>28</v>
      </c>
    </row>
    <row r="87" spans="1:16" x14ac:dyDescent="0.3">
      <c r="A87" s="12">
        <v>186</v>
      </c>
      <c r="B87" s="12" t="s">
        <v>368</v>
      </c>
      <c r="C87" s="12" t="s">
        <v>369</v>
      </c>
      <c r="D87" s="12" t="s">
        <v>351</v>
      </c>
      <c r="E87" s="12" t="s">
        <v>370</v>
      </c>
      <c r="F87" s="12">
        <v>469</v>
      </c>
      <c r="G87" s="12" t="s">
        <v>32</v>
      </c>
      <c r="H87" s="12">
        <v>12</v>
      </c>
      <c r="I87" s="12">
        <v>9</v>
      </c>
      <c r="J87" s="12">
        <v>3</v>
      </c>
      <c r="K87" s="14">
        <v>45407</v>
      </c>
      <c r="L87" s="14">
        <v>46189</v>
      </c>
      <c r="M87" s="12">
        <v>782</v>
      </c>
      <c r="N87" s="12">
        <v>320</v>
      </c>
      <c r="O87" s="12" t="s">
        <v>371</v>
      </c>
      <c r="P87" s="12" t="s">
        <v>22</v>
      </c>
    </row>
    <row r="88" spans="1:16" x14ac:dyDescent="0.3">
      <c r="A88" s="12">
        <v>187</v>
      </c>
      <c r="B88" s="12" t="s">
        <v>372</v>
      </c>
      <c r="C88" s="12" t="s">
        <v>373</v>
      </c>
      <c r="D88" s="12" t="s">
        <v>351</v>
      </c>
      <c r="E88" s="12" t="s">
        <v>374</v>
      </c>
      <c r="F88" s="12">
        <v>470</v>
      </c>
      <c r="G88" s="12" t="s">
        <v>32</v>
      </c>
      <c r="H88" s="12">
        <v>11</v>
      </c>
      <c r="I88" s="12">
        <v>10</v>
      </c>
      <c r="J88" s="12">
        <v>1</v>
      </c>
      <c r="K88" s="14">
        <v>45408</v>
      </c>
      <c r="L88" s="14">
        <v>46201</v>
      </c>
      <c r="M88" s="12">
        <v>793</v>
      </c>
      <c r="N88" s="12">
        <v>180</v>
      </c>
      <c r="O88" s="12" t="s">
        <v>375</v>
      </c>
      <c r="P88" s="12" t="s">
        <v>34</v>
      </c>
    </row>
    <row r="89" spans="1:16" x14ac:dyDescent="0.3">
      <c r="A89" s="12">
        <v>188</v>
      </c>
      <c r="B89" s="12" t="s">
        <v>376</v>
      </c>
      <c r="C89" s="12" t="s">
        <v>377</v>
      </c>
      <c r="D89" s="12" t="s">
        <v>351</v>
      </c>
      <c r="E89" s="12" t="s">
        <v>378</v>
      </c>
      <c r="F89" s="12">
        <v>655</v>
      </c>
      <c r="G89" s="12" t="s">
        <v>38</v>
      </c>
      <c r="H89" s="12">
        <v>11</v>
      </c>
      <c r="I89" s="12">
        <v>10</v>
      </c>
      <c r="J89" s="12">
        <v>1</v>
      </c>
      <c r="K89" s="14">
        <v>45409</v>
      </c>
      <c r="L89" s="14">
        <v>46206</v>
      </c>
      <c r="M89" s="12">
        <v>797</v>
      </c>
      <c r="N89" s="12">
        <v>200</v>
      </c>
      <c r="O89" s="12" t="s">
        <v>379</v>
      </c>
      <c r="P89" s="12" t="s">
        <v>34</v>
      </c>
    </row>
    <row r="90" spans="1:16" x14ac:dyDescent="0.3">
      <c r="A90" s="12">
        <v>189</v>
      </c>
      <c r="B90" s="12" t="s">
        <v>380</v>
      </c>
      <c r="C90" s="12" t="s">
        <v>381</v>
      </c>
      <c r="D90" s="12" t="s">
        <v>351</v>
      </c>
      <c r="E90" s="12" t="s">
        <v>382</v>
      </c>
      <c r="F90" s="12">
        <v>661</v>
      </c>
      <c r="G90" s="12" t="s">
        <v>38</v>
      </c>
      <c r="H90" s="12">
        <v>12</v>
      </c>
      <c r="I90" s="12">
        <v>9</v>
      </c>
      <c r="J90" s="12">
        <v>3</v>
      </c>
      <c r="K90" s="14">
        <v>45410</v>
      </c>
      <c r="L90" s="14">
        <v>46220</v>
      </c>
      <c r="M90" s="12">
        <v>810</v>
      </c>
      <c r="N90" s="12">
        <v>160</v>
      </c>
      <c r="O90" s="12" t="s">
        <v>383</v>
      </c>
      <c r="P90" s="12" t="s">
        <v>28</v>
      </c>
    </row>
    <row r="91" spans="1:16" x14ac:dyDescent="0.3">
      <c r="A91" s="12">
        <v>190</v>
      </c>
      <c r="B91" s="12" t="s">
        <v>384</v>
      </c>
      <c r="C91" s="12" t="s">
        <v>385</v>
      </c>
      <c r="D91" s="12" t="s">
        <v>351</v>
      </c>
      <c r="E91" s="12" t="s">
        <v>386</v>
      </c>
      <c r="F91" s="12">
        <v>926</v>
      </c>
      <c r="G91" s="12" t="s">
        <v>38</v>
      </c>
      <c r="H91" s="12">
        <v>13</v>
      </c>
      <c r="I91" s="12">
        <v>8</v>
      </c>
      <c r="J91" s="12">
        <v>5</v>
      </c>
      <c r="K91" s="14">
        <v>45411</v>
      </c>
      <c r="L91" s="14">
        <v>46233</v>
      </c>
      <c r="M91" s="12">
        <v>822</v>
      </c>
      <c r="N91" s="12">
        <v>120</v>
      </c>
      <c r="O91" s="12" t="s">
        <v>387</v>
      </c>
      <c r="P91" s="12" t="s">
        <v>28</v>
      </c>
    </row>
    <row r="92" spans="1:16" x14ac:dyDescent="0.3">
      <c r="A92" s="12">
        <v>191</v>
      </c>
      <c r="B92" s="12" t="s">
        <v>388</v>
      </c>
      <c r="C92" s="12" t="s">
        <v>389</v>
      </c>
      <c r="D92" s="12" t="s">
        <v>351</v>
      </c>
      <c r="E92" s="12" t="s">
        <v>390</v>
      </c>
      <c r="F92" s="12">
        <v>451</v>
      </c>
      <c r="G92" s="12" t="s">
        <v>20</v>
      </c>
      <c r="H92" s="12">
        <v>14</v>
      </c>
      <c r="I92" s="12">
        <v>7</v>
      </c>
      <c r="J92" s="12">
        <v>7</v>
      </c>
      <c r="K92" s="14">
        <v>45412</v>
      </c>
      <c r="L92" s="14">
        <v>46238</v>
      </c>
      <c r="M92" s="12">
        <v>826</v>
      </c>
      <c r="N92" s="12">
        <v>260</v>
      </c>
      <c r="O92" s="12" t="s">
        <v>391</v>
      </c>
      <c r="P92" s="12" t="s">
        <v>22</v>
      </c>
    </row>
    <row r="93" spans="1:16" x14ac:dyDescent="0.3">
      <c r="A93" s="12">
        <v>192</v>
      </c>
      <c r="B93" s="12" t="s">
        <v>392</v>
      </c>
      <c r="C93" s="12" t="s">
        <v>393</v>
      </c>
      <c r="D93" s="12" t="s">
        <v>351</v>
      </c>
      <c r="E93" s="12" t="s">
        <v>394</v>
      </c>
      <c r="F93" s="12">
        <v>901</v>
      </c>
      <c r="G93" s="12" t="s">
        <v>32</v>
      </c>
      <c r="H93" s="12">
        <v>15</v>
      </c>
      <c r="I93" s="12">
        <v>6</v>
      </c>
      <c r="J93" s="12">
        <v>9</v>
      </c>
      <c r="K93" s="14">
        <v>45413</v>
      </c>
      <c r="L93" s="14">
        <v>46252</v>
      </c>
      <c r="M93" s="12">
        <v>839</v>
      </c>
      <c r="N93" s="12">
        <v>280</v>
      </c>
      <c r="O93" s="12" t="s">
        <v>395</v>
      </c>
      <c r="P93" s="12" t="s">
        <v>34</v>
      </c>
    </row>
    <row r="94" spans="1:16" x14ac:dyDescent="0.3">
      <c r="A94" s="12">
        <v>193</v>
      </c>
      <c r="B94" s="12" t="s">
        <v>396</v>
      </c>
      <c r="C94" s="12" t="s">
        <v>397</v>
      </c>
      <c r="D94" s="12" t="s">
        <v>351</v>
      </c>
      <c r="E94" s="12" t="s">
        <v>398</v>
      </c>
      <c r="F94" s="12">
        <v>495</v>
      </c>
      <c r="G94" s="12" t="s">
        <v>20</v>
      </c>
      <c r="H94" s="12">
        <v>16</v>
      </c>
      <c r="I94" s="12">
        <v>5</v>
      </c>
      <c r="J94" s="12">
        <v>11</v>
      </c>
      <c r="K94" s="14">
        <v>45414</v>
      </c>
      <c r="L94" s="14">
        <v>46263</v>
      </c>
      <c r="M94" s="12">
        <v>849</v>
      </c>
      <c r="N94" s="12">
        <v>320</v>
      </c>
      <c r="O94" s="12" t="s">
        <v>399</v>
      </c>
      <c r="P94" s="12" t="s">
        <v>22</v>
      </c>
    </row>
    <row r="95" spans="1:16" x14ac:dyDescent="0.3">
      <c r="A95" s="12">
        <v>194</v>
      </c>
      <c r="B95" s="12" t="s">
        <v>400</v>
      </c>
      <c r="C95" s="12" t="s">
        <v>401</v>
      </c>
      <c r="D95" s="12" t="s">
        <v>351</v>
      </c>
      <c r="E95" s="12" t="s">
        <v>402</v>
      </c>
      <c r="F95" s="12">
        <v>924</v>
      </c>
      <c r="G95" s="12" t="s">
        <v>38</v>
      </c>
      <c r="H95" s="12">
        <v>17</v>
      </c>
      <c r="I95" s="12">
        <v>4</v>
      </c>
      <c r="J95" s="12">
        <v>13</v>
      </c>
      <c r="K95" s="14">
        <v>45415</v>
      </c>
      <c r="L95" s="14">
        <v>46270</v>
      </c>
      <c r="M95" s="12">
        <v>855</v>
      </c>
      <c r="N95" s="12">
        <v>360</v>
      </c>
      <c r="O95" s="12" t="s">
        <v>403</v>
      </c>
      <c r="P95" s="12" t="s">
        <v>34</v>
      </c>
    </row>
    <row r="96" spans="1:16" x14ac:dyDescent="0.3">
      <c r="A96" s="12">
        <v>195</v>
      </c>
      <c r="B96" s="12" t="s">
        <v>404</v>
      </c>
      <c r="C96" s="12" t="s">
        <v>405</v>
      </c>
      <c r="D96" s="12" t="s">
        <v>351</v>
      </c>
      <c r="E96" s="12" t="s">
        <v>406</v>
      </c>
      <c r="F96" s="12">
        <v>919</v>
      </c>
      <c r="G96" s="12" t="s">
        <v>32</v>
      </c>
      <c r="H96" s="12">
        <v>18</v>
      </c>
      <c r="I96" s="12">
        <v>3</v>
      </c>
      <c r="J96" s="12">
        <v>15</v>
      </c>
      <c r="K96" s="14">
        <v>45416</v>
      </c>
      <c r="L96" s="14">
        <v>46282</v>
      </c>
      <c r="M96" s="12">
        <v>866</v>
      </c>
      <c r="N96" s="12">
        <v>380</v>
      </c>
      <c r="O96" s="12" t="s">
        <v>407</v>
      </c>
      <c r="P96" s="12" t="s">
        <v>22</v>
      </c>
    </row>
    <row r="97" spans="1:16" x14ac:dyDescent="0.3">
      <c r="A97" s="12">
        <v>196</v>
      </c>
      <c r="B97" s="12" t="s">
        <v>408</v>
      </c>
      <c r="C97" s="12" t="s">
        <v>362</v>
      </c>
      <c r="D97" s="12" t="s">
        <v>351</v>
      </c>
      <c r="E97" s="12" t="s">
        <v>409</v>
      </c>
      <c r="F97" s="12">
        <v>948</v>
      </c>
      <c r="G97" s="12" t="s">
        <v>20</v>
      </c>
      <c r="H97" s="12">
        <v>19</v>
      </c>
      <c r="I97" s="12">
        <v>2</v>
      </c>
      <c r="J97" s="12">
        <v>17</v>
      </c>
      <c r="K97" s="14">
        <v>45417</v>
      </c>
      <c r="L97" s="14">
        <v>46295</v>
      </c>
      <c r="M97" s="12">
        <v>878</v>
      </c>
      <c r="N97" s="12">
        <v>400</v>
      </c>
      <c r="O97" s="12" t="s">
        <v>254</v>
      </c>
      <c r="P97" s="12" t="s">
        <v>34</v>
      </c>
    </row>
    <row r="98" spans="1:16" x14ac:dyDescent="0.3">
      <c r="A98" s="12">
        <v>197</v>
      </c>
      <c r="B98" s="12" t="s">
        <v>410</v>
      </c>
      <c r="C98" s="12" t="s">
        <v>411</v>
      </c>
      <c r="D98" s="12" t="s">
        <v>351</v>
      </c>
      <c r="E98" s="12" t="s">
        <v>412</v>
      </c>
      <c r="F98" s="12">
        <v>537</v>
      </c>
      <c r="G98" s="12" t="s">
        <v>20</v>
      </c>
      <c r="H98" s="12">
        <v>20</v>
      </c>
      <c r="I98" s="12">
        <v>1</v>
      </c>
      <c r="J98" s="12">
        <v>19</v>
      </c>
      <c r="K98" s="14">
        <v>45418</v>
      </c>
      <c r="L98" s="14">
        <v>46298</v>
      </c>
      <c r="M98" s="12">
        <v>880</v>
      </c>
      <c r="N98" s="12">
        <v>420</v>
      </c>
      <c r="O98" s="12" t="s">
        <v>413</v>
      </c>
      <c r="P98" s="12" t="s">
        <v>34</v>
      </c>
    </row>
    <row r="99" spans="1:16" x14ac:dyDescent="0.3">
      <c r="A99" s="12">
        <v>198</v>
      </c>
      <c r="B99" s="12" t="s">
        <v>414</v>
      </c>
      <c r="C99" s="12" t="s">
        <v>415</v>
      </c>
      <c r="D99" s="12" t="s">
        <v>351</v>
      </c>
      <c r="E99" s="12" t="s">
        <v>416</v>
      </c>
      <c r="F99" s="12">
        <v>252</v>
      </c>
      <c r="G99" s="12" t="s">
        <v>38</v>
      </c>
      <c r="H99" s="12">
        <v>49</v>
      </c>
      <c r="I99" s="12">
        <v>35</v>
      </c>
      <c r="J99" s="12">
        <v>14</v>
      </c>
      <c r="K99" s="14">
        <v>45419</v>
      </c>
      <c r="L99" s="14">
        <v>46311</v>
      </c>
      <c r="M99" s="12">
        <v>892</v>
      </c>
      <c r="N99" s="12">
        <v>440</v>
      </c>
      <c r="O99" s="12" t="s">
        <v>417</v>
      </c>
      <c r="P99" s="12" t="s">
        <v>28</v>
      </c>
    </row>
    <row r="100" spans="1:16" x14ac:dyDescent="0.3">
      <c r="A100" s="12">
        <v>199</v>
      </c>
      <c r="B100" s="12" t="s">
        <v>418</v>
      </c>
      <c r="C100" s="12" t="s">
        <v>419</v>
      </c>
      <c r="D100" s="12" t="s">
        <v>351</v>
      </c>
      <c r="E100" s="12" t="s">
        <v>420</v>
      </c>
      <c r="F100" s="12">
        <v>991</v>
      </c>
      <c r="G100" s="12" t="s">
        <v>32</v>
      </c>
      <c r="H100" s="12">
        <v>48</v>
      </c>
      <c r="I100" s="12">
        <v>33</v>
      </c>
      <c r="J100" s="12">
        <v>15</v>
      </c>
      <c r="K100" s="14">
        <v>45420</v>
      </c>
      <c r="L100" s="14">
        <v>46323</v>
      </c>
      <c r="M100" s="12">
        <v>903</v>
      </c>
      <c r="N100" s="12">
        <v>460</v>
      </c>
      <c r="O100" s="12" t="s">
        <v>421</v>
      </c>
      <c r="P100" s="12" t="s">
        <v>107</v>
      </c>
    </row>
    <row r="101" spans="1:16" x14ac:dyDescent="0.3">
      <c r="A101" s="12">
        <v>200</v>
      </c>
      <c r="B101" s="12" t="s">
        <v>422</v>
      </c>
      <c r="C101" s="12" t="s">
        <v>423</v>
      </c>
      <c r="D101" s="12" t="s">
        <v>351</v>
      </c>
      <c r="E101" s="12" t="s">
        <v>424</v>
      </c>
      <c r="F101" s="12">
        <v>416</v>
      </c>
      <c r="G101" s="12" t="s">
        <v>38</v>
      </c>
      <c r="H101" s="12">
        <v>47</v>
      </c>
      <c r="I101" s="12">
        <v>32</v>
      </c>
      <c r="J101" s="12">
        <v>15</v>
      </c>
      <c r="K101" s="14">
        <v>45421</v>
      </c>
      <c r="L101" s="14">
        <v>46330</v>
      </c>
      <c r="M101" s="12">
        <v>909</v>
      </c>
      <c r="N101" s="12">
        <v>480</v>
      </c>
      <c r="O101" s="12" t="s">
        <v>246</v>
      </c>
      <c r="P101" s="12" t="s">
        <v>22</v>
      </c>
    </row>
    <row r="102" spans="1:16" x14ac:dyDescent="0.3">
      <c r="A102" s="12">
        <v>201</v>
      </c>
      <c r="B102" s="12" t="s">
        <v>425</v>
      </c>
      <c r="C102" s="12" t="s">
        <v>426</v>
      </c>
      <c r="D102" s="12" t="s">
        <v>425</v>
      </c>
      <c r="E102" s="12" t="s">
        <v>427</v>
      </c>
      <c r="F102" s="12">
        <v>963</v>
      </c>
      <c r="G102" s="12" t="s">
        <v>32</v>
      </c>
      <c r="H102" s="12">
        <v>46</v>
      </c>
      <c r="I102" s="12">
        <v>23</v>
      </c>
      <c r="J102" s="12">
        <v>23</v>
      </c>
      <c r="K102" s="14">
        <v>45422</v>
      </c>
      <c r="L102" s="14">
        <v>46343</v>
      </c>
      <c r="M102" s="12">
        <v>921</v>
      </c>
      <c r="N102" s="12">
        <v>200</v>
      </c>
      <c r="O102" s="12" t="s">
        <v>428</v>
      </c>
      <c r="P102" s="12" t="s">
        <v>28</v>
      </c>
    </row>
    <row r="103" spans="1:16" x14ac:dyDescent="0.3">
      <c r="A103" s="12">
        <v>202</v>
      </c>
      <c r="B103" s="12" t="s">
        <v>429</v>
      </c>
      <c r="C103" s="12" t="s">
        <v>430</v>
      </c>
      <c r="D103" s="12" t="s">
        <v>425</v>
      </c>
      <c r="E103" s="12" t="s">
        <v>431</v>
      </c>
      <c r="F103" s="12">
        <v>387</v>
      </c>
      <c r="G103" s="12" t="s">
        <v>26</v>
      </c>
      <c r="H103" s="12">
        <v>45</v>
      </c>
      <c r="I103" s="12">
        <v>29</v>
      </c>
      <c r="J103" s="12">
        <v>16</v>
      </c>
      <c r="K103" s="14">
        <v>45423</v>
      </c>
      <c r="L103" s="14">
        <v>46355</v>
      </c>
      <c r="M103" s="12">
        <v>932</v>
      </c>
      <c r="N103" s="12">
        <v>180</v>
      </c>
      <c r="O103" s="12" t="s">
        <v>432</v>
      </c>
      <c r="P103" s="12" t="s">
        <v>22</v>
      </c>
    </row>
    <row r="104" spans="1:16" x14ac:dyDescent="0.3">
      <c r="A104" s="12">
        <v>203</v>
      </c>
      <c r="B104" s="12" t="s">
        <v>433</v>
      </c>
      <c r="C104" s="12" t="s">
        <v>434</v>
      </c>
      <c r="D104" s="12" t="s">
        <v>425</v>
      </c>
      <c r="E104" s="12" t="s">
        <v>435</v>
      </c>
      <c r="F104" s="12">
        <v>579</v>
      </c>
      <c r="G104" s="12" t="s">
        <v>65</v>
      </c>
      <c r="H104" s="12">
        <v>44</v>
      </c>
      <c r="I104" s="12">
        <v>34</v>
      </c>
      <c r="J104" s="12">
        <v>10</v>
      </c>
      <c r="K104" s="14">
        <v>45424</v>
      </c>
      <c r="L104" s="14">
        <v>46361</v>
      </c>
      <c r="M104" s="12">
        <v>937</v>
      </c>
      <c r="N104" s="12">
        <v>160</v>
      </c>
      <c r="O104" s="12" t="s">
        <v>436</v>
      </c>
      <c r="P104" s="12" t="s">
        <v>34</v>
      </c>
    </row>
    <row r="105" spans="1:16" x14ac:dyDescent="0.3">
      <c r="A105" s="12">
        <v>204</v>
      </c>
      <c r="B105" s="12" t="s">
        <v>437</v>
      </c>
      <c r="C105" s="12" t="s">
        <v>438</v>
      </c>
      <c r="D105" s="12" t="s">
        <v>425</v>
      </c>
      <c r="E105" s="12" t="s">
        <v>439</v>
      </c>
      <c r="F105" s="12">
        <v>692</v>
      </c>
      <c r="G105" s="12" t="s">
        <v>65</v>
      </c>
      <c r="H105" s="12">
        <v>43</v>
      </c>
      <c r="I105" s="12">
        <v>27</v>
      </c>
      <c r="J105" s="12">
        <v>16</v>
      </c>
      <c r="K105" s="14">
        <v>45425</v>
      </c>
      <c r="L105" s="14">
        <v>46374</v>
      </c>
      <c r="M105" s="12">
        <v>949</v>
      </c>
      <c r="N105" s="12">
        <v>140</v>
      </c>
      <c r="O105" s="12" t="s">
        <v>440</v>
      </c>
      <c r="P105" s="12" t="s">
        <v>107</v>
      </c>
    </row>
    <row r="106" spans="1:16" x14ac:dyDescent="0.3">
      <c r="A106" s="12">
        <v>205</v>
      </c>
      <c r="B106" s="12" t="s">
        <v>441</v>
      </c>
      <c r="C106" s="12" t="s">
        <v>442</v>
      </c>
      <c r="D106" s="12" t="s">
        <v>425</v>
      </c>
      <c r="E106" s="12" t="s">
        <v>443</v>
      </c>
      <c r="F106" s="12">
        <v>240</v>
      </c>
      <c r="G106" s="12" t="s">
        <v>65</v>
      </c>
      <c r="H106" s="12">
        <v>42</v>
      </c>
      <c r="I106" s="12">
        <v>34</v>
      </c>
      <c r="J106" s="12">
        <v>8</v>
      </c>
      <c r="K106" s="14">
        <v>45426</v>
      </c>
      <c r="L106" s="14">
        <v>46386</v>
      </c>
      <c r="M106" s="12">
        <v>960</v>
      </c>
      <c r="N106" s="12">
        <v>120</v>
      </c>
      <c r="O106" s="12" t="s">
        <v>444</v>
      </c>
      <c r="P106" s="12" t="s">
        <v>28</v>
      </c>
    </row>
    <row r="107" spans="1:16" x14ac:dyDescent="0.3">
      <c r="A107" s="12">
        <v>206</v>
      </c>
      <c r="B107" s="12" t="s">
        <v>445</v>
      </c>
      <c r="C107" s="12" t="s">
        <v>446</v>
      </c>
      <c r="D107" s="12" t="s">
        <v>447</v>
      </c>
      <c r="E107" s="12" t="s">
        <v>448</v>
      </c>
      <c r="F107" s="12">
        <v>356</v>
      </c>
      <c r="G107" s="12" t="s">
        <v>38</v>
      </c>
      <c r="H107" s="12">
        <v>41</v>
      </c>
      <c r="I107" s="12">
        <v>24</v>
      </c>
      <c r="J107" s="12">
        <v>17</v>
      </c>
      <c r="K107" s="14">
        <v>45427</v>
      </c>
      <c r="L107" s="14">
        <v>46391</v>
      </c>
      <c r="M107" s="12">
        <v>964</v>
      </c>
      <c r="N107" s="12">
        <v>100</v>
      </c>
      <c r="O107" s="12" t="s">
        <v>449</v>
      </c>
      <c r="P107" s="12" t="s">
        <v>28</v>
      </c>
    </row>
    <row r="108" spans="1:16" x14ac:dyDescent="0.3">
      <c r="A108" s="12">
        <v>207</v>
      </c>
      <c r="B108" s="12" t="s">
        <v>450</v>
      </c>
      <c r="C108" s="12" t="s">
        <v>451</v>
      </c>
      <c r="D108" s="12" t="s">
        <v>447</v>
      </c>
      <c r="E108" s="12" t="s">
        <v>452</v>
      </c>
      <c r="F108" s="12">
        <v>214</v>
      </c>
      <c r="G108" s="12" t="s">
        <v>26</v>
      </c>
      <c r="H108" s="12">
        <v>40</v>
      </c>
      <c r="I108" s="12">
        <v>34</v>
      </c>
      <c r="J108" s="12">
        <v>6</v>
      </c>
      <c r="K108" s="14">
        <v>45428</v>
      </c>
      <c r="L108" s="14">
        <v>46403</v>
      </c>
      <c r="M108" s="12">
        <v>975</v>
      </c>
      <c r="N108" s="12">
        <v>800</v>
      </c>
      <c r="O108" s="12" t="s">
        <v>453</v>
      </c>
      <c r="P108" s="12" t="s">
        <v>22</v>
      </c>
    </row>
    <row r="109" spans="1:16" x14ac:dyDescent="0.3">
      <c r="A109" s="12">
        <v>208</v>
      </c>
      <c r="B109" s="12" t="s">
        <v>454</v>
      </c>
      <c r="C109" s="12" t="s">
        <v>455</v>
      </c>
      <c r="D109" s="12" t="s">
        <v>447</v>
      </c>
      <c r="E109" s="12" t="s">
        <v>456</v>
      </c>
      <c r="F109" s="12">
        <v>264</v>
      </c>
      <c r="G109" s="12" t="s">
        <v>32</v>
      </c>
      <c r="H109" s="12">
        <v>39</v>
      </c>
      <c r="I109" s="12">
        <v>26</v>
      </c>
      <c r="J109" s="12">
        <v>13</v>
      </c>
      <c r="K109" s="14">
        <v>45429</v>
      </c>
      <c r="L109" s="14">
        <v>46415</v>
      </c>
      <c r="M109" s="12">
        <v>986</v>
      </c>
      <c r="N109" s="12">
        <v>600</v>
      </c>
      <c r="O109" s="12" t="s">
        <v>457</v>
      </c>
      <c r="P109" s="12" t="s">
        <v>28</v>
      </c>
    </row>
    <row r="110" spans="1:16" x14ac:dyDescent="0.3">
      <c r="A110" s="12">
        <v>209</v>
      </c>
      <c r="B110" s="12" t="s">
        <v>458</v>
      </c>
      <c r="C110" s="12" t="s">
        <v>459</v>
      </c>
      <c r="D110" s="12" t="s">
        <v>447</v>
      </c>
      <c r="E110" s="12" t="s">
        <v>460</v>
      </c>
      <c r="F110" s="12">
        <v>720</v>
      </c>
      <c r="G110" s="12" t="s">
        <v>20</v>
      </c>
      <c r="H110" s="12">
        <v>38</v>
      </c>
      <c r="I110" s="12">
        <v>23</v>
      </c>
      <c r="J110" s="12">
        <v>15</v>
      </c>
      <c r="K110" s="14">
        <v>45430</v>
      </c>
      <c r="L110" s="14">
        <v>46423</v>
      </c>
      <c r="M110" s="12">
        <v>993</v>
      </c>
      <c r="N110" s="12">
        <v>400</v>
      </c>
      <c r="O110" s="12" t="s">
        <v>461</v>
      </c>
      <c r="P110" s="12" t="s">
        <v>28</v>
      </c>
    </row>
    <row r="111" spans="1:16" x14ac:dyDescent="0.3">
      <c r="A111" s="12">
        <v>210</v>
      </c>
      <c r="B111" s="12" t="s">
        <v>462</v>
      </c>
      <c r="C111" s="12" t="s">
        <v>463</v>
      </c>
      <c r="D111" s="12" t="s">
        <v>447</v>
      </c>
      <c r="E111" s="12" t="s">
        <v>464</v>
      </c>
      <c r="F111" s="12">
        <v>543</v>
      </c>
      <c r="G111" s="12" t="s">
        <v>32</v>
      </c>
      <c r="H111" s="12">
        <v>37</v>
      </c>
      <c r="I111" s="12">
        <v>20</v>
      </c>
      <c r="J111" s="12">
        <v>17</v>
      </c>
      <c r="K111" s="14">
        <v>45431</v>
      </c>
      <c r="L111" s="14">
        <v>46435</v>
      </c>
      <c r="M111" s="12">
        <v>1004</v>
      </c>
      <c r="N111" s="12">
        <v>200</v>
      </c>
      <c r="O111" s="12" t="s">
        <v>465</v>
      </c>
      <c r="P111" s="12" t="s">
        <v>28</v>
      </c>
    </row>
    <row r="112" spans="1:16" x14ac:dyDescent="0.3">
      <c r="A112" s="12">
        <v>211</v>
      </c>
      <c r="B112" s="12" t="s">
        <v>466</v>
      </c>
      <c r="C112" s="12" t="s">
        <v>467</v>
      </c>
      <c r="D112" s="12" t="s">
        <v>447</v>
      </c>
      <c r="E112" s="12" t="s">
        <v>468</v>
      </c>
      <c r="F112" s="12">
        <v>328</v>
      </c>
      <c r="G112" s="12" t="s">
        <v>20</v>
      </c>
      <c r="H112" s="12">
        <v>36</v>
      </c>
      <c r="I112" s="12">
        <v>15</v>
      </c>
      <c r="J112" s="12">
        <v>21</v>
      </c>
      <c r="K112" s="14">
        <v>45432</v>
      </c>
      <c r="L112" s="14">
        <v>46445</v>
      </c>
      <c r="M112" s="12">
        <v>1013</v>
      </c>
      <c r="N112" s="12">
        <v>530</v>
      </c>
      <c r="O112" s="12" t="s">
        <v>469</v>
      </c>
      <c r="P112" s="12" t="s">
        <v>22</v>
      </c>
    </row>
    <row r="113" spans="1:16" x14ac:dyDescent="0.3">
      <c r="A113" s="12">
        <v>212</v>
      </c>
      <c r="B113" s="12" t="s">
        <v>470</v>
      </c>
      <c r="C113" s="12" t="s">
        <v>471</v>
      </c>
      <c r="D113" s="12" t="s">
        <v>447</v>
      </c>
      <c r="E113" s="12" t="s">
        <v>472</v>
      </c>
      <c r="F113" s="12">
        <v>847</v>
      </c>
      <c r="G113" s="12" t="s">
        <v>32</v>
      </c>
      <c r="H113" s="12">
        <v>35</v>
      </c>
      <c r="I113" s="12">
        <v>18</v>
      </c>
      <c r="J113" s="12">
        <v>17</v>
      </c>
      <c r="K113" s="14">
        <v>45433</v>
      </c>
      <c r="L113" s="14">
        <v>46450</v>
      </c>
      <c r="M113" s="12">
        <v>1017</v>
      </c>
      <c r="N113" s="12">
        <v>120</v>
      </c>
      <c r="O113" s="12" t="s">
        <v>473</v>
      </c>
      <c r="P113" s="12" t="s">
        <v>34</v>
      </c>
    </row>
    <row r="114" spans="1:16" x14ac:dyDescent="0.3">
      <c r="A114" s="12">
        <v>213</v>
      </c>
      <c r="B114" s="12" t="s">
        <v>474</v>
      </c>
      <c r="C114" s="12" t="s">
        <v>475</v>
      </c>
      <c r="D114" s="12" t="s">
        <v>447</v>
      </c>
      <c r="E114" s="12" t="s">
        <v>476</v>
      </c>
      <c r="F114" s="12">
        <v>671</v>
      </c>
      <c r="G114" s="12" t="s">
        <v>26</v>
      </c>
      <c r="H114" s="12">
        <v>34</v>
      </c>
      <c r="I114" s="12">
        <v>17</v>
      </c>
      <c r="J114" s="12">
        <v>17</v>
      </c>
      <c r="K114" s="14">
        <v>45434</v>
      </c>
      <c r="L114" s="14">
        <v>46462</v>
      </c>
      <c r="M114" s="12">
        <v>1028</v>
      </c>
      <c r="N114" s="12">
        <v>140</v>
      </c>
      <c r="O114" s="12" t="s">
        <v>477</v>
      </c>
      <c r="P114" s="12" t="s">
        <v>107</v>
      </c>
    </row>
    <row r="115" spans="1:16" x14ac:dyDescent="0.3">
      <c r="A115" s="12">
        <v>214</v>
      </c>
      <c r="B115" s="12" t="s">
        <v>478</v>
      </c>
      <c r="C115" s="12" t="s">
        <v>479</v>
      </c>
      <c r="D115" s="12" t="s">
        <v>447</v>
      </c>
      <c r="E115" s="12" t="s">
        <v>480</v>
      </c>
      <c r="F115" s="12">
        <v>262</v>
      </c>
      <c r="G115" s="12" t="s">
        <v>20</v>
      </c>
      <c r="H115" s="12">
        <v>33</v>
      </c>
      <c r="I115" s="12">
        <v>18</v>
      </c>
      <c r="J115" s="12">
        <v>15</v>
      </c>
      <c r="K115" s="14">
        <v>45435</v>
      </c>
      <c r="L115" s="14">
        <v>46474</v>
      </c>
      <c r="M115" s="12">
        <v>1039</v>
      </c>
      <c r="N115" s="12">
        <v>160</v>
      </c>
      <c r="O115" s="12" t="s">
        <v>481</v>
      </c>
      <c r="P115" s="12" t="s">
        <v>28</v>
      </c>
    </row>
    <row r="116" spans="1:16" x14ac:dyDescent="0.3">
      <c r="A116" s="12">
        <v>215</v>
      </c>
      <c r="B116" s="12" t="s">
        <v>482</v>
      </c>
      <c r="C116" s="12" t="s">
        <v>483</v>
      </c>
      <c r="D116" s="12" t="s">
        <v>447</v>
      </c>
      <c r="E116" s="12" t="s">
        <v>484</v>
      </c>
      <c r="F116" s="12">
        <v>338</v>
      </c>
      <c r="G116" s="12" t="s">
        <v>38</v>
      </c>
      <c r="H116" s="12">
        <v>32</v>
      </c>
      <c r="I116" s="12">
        <v>27</v>
      </c>
      <c r="J116" s="12">
        <v>5</v>
      </c>
      <c r="K116" s="14">
        <v>45436</v>
      </c>
      <c r="L116" s="14">
        <v>46480</v>
      </c>
      <c r="M116" s="12">
        <v>1044</v>
      </c>
      <c r="N116" s="12">
        <v>180</v>
      </c>
      <c r="O116" s="12" t="s">
        <v>485</v>
      </c>
      <c r="P116" s="12" t="s">
        <v>34</v>
      </c>
    </row>
    <row r="117" spans="1:16" x14ac:dyDescent="0.3">
      <c r="A117" s="12">
        <v>216</v>
      </c>
      <c r="B117" s="12" t="s">
        <v>486</v>
      </c>
      <c r="C117" s="12" t="s">
        <v>487</v>
      </c>
      <c r="D117" s="12" t="s">
        <v>447</v>
      </c>
      <c r="E117" s="12" t="s">
        <v>488</v>
      </c>
      <c r="F117" s="12">
        <v>698</v>
      </c>
      <c r="G117" s="12" t="s">
        <v>32</v>
      </c>
      <c r="H117" s="12">
        <v>31</v>
      </c>
      <c r="I117" s="12">
        <v>23</v>
      </c>
      <c r="J117" s="12">
        <v>8</v>
      </c>
      <c r="K117" s="14">
        <v>45437</v>
      </c>
      <c r="L117" s="14">
        <v>46492</v>
      </c>
      <c r="M117" s="12">
        <v>1055</v>
      </c>
      <c r="N117" s="12">
        <v>200</v>
      </c>
      <c r="O117" s="12" t="s">
        <v>489</v>
      </c>
      <c r="P117" s="12" t="s">
        <v>28</v>
      </c>
    </row>
    <row r="118" spans="1:16" x14ac:dyDescent="0.3">
      <c r="A118" s="12">
        <v>217</v>
      </c>
      <c r="B118" s="12" t="s">
        <v>490</v>
      </c>
      <c r="C118" s="12" t="s">
        <v>491</v>
      </c>
      <c r="D118" s="12" t="s">
        <v>447</v>
      </c>
      <c r="E118" s="12" t="s">
        <v>492</v>
      </c>
      <c r="F118" s="12">
        <v>792</v>
      </c>
      <c r="G118" s="12" t="s">
        <v>32</v>
      </c>
      <c r="H118" s="12">
        <v>30</v>
      </c>
      <c r="I118" s="12">
        <v>24</v>
      </c>
      <c r="J118" s="12">
        <v>6</v>
      </c>
      <c r="K118" s="14">
        <v>45438</v>
      </c>
      <c r="L118" s="14">
        <v>46506</v>
      </c>
      <c r="M118" s="12">
        <v>1068</v>
      </c>
      <c r="N118" s="12">
        <v>220</v>
      </c>
      <c r="O118" s="12" t="s">
        <v>493</v>
      </c>
      <c r="P118" s="12" t="s">
        <v>28</v>
      </c>
    </row>
    <row r="119" spans="1:16" x14ac:dyDescent="0.3">
      <c r="A119" s="12">
        <v>218</v>
      </c>
      <c r="B119" s="12" t="s">
        <v>494</v>
      </c>
      <c r="C119" s="12" t="s">
        <v>495</v>
      </c>
      <c r="D119" s="12" t="s">
        <v>447</v>
      </c>
      <c r="E119" s="12" t="s">
        <v>496</v>
      </c>
      <c r="F119" s="12">
        <v>591</v>
      </c>
      <c r="G119" s="12" t="s">
        <v>20</v>
      </c>
      <c r="H119" s="12">
        <v>29</v>
      </c>
      <c r="I119" s="12">
        <v>23</v>
      </c>
      <c r="J119" s="12">
        <v>6</v>
      </c>
      <c r="K119" s="14">
        <v>45439</v>
      </c>
      <c r="L119" s="14">
        <v>46511</v>
      </c>
      <c r="M119" s="12">
        <v>1072</v>
      </c>
      <c r="N119" s="12">
        <v>240</v>
      </c>
      <c r="O119" s="12" t="s">
        <v>497</v>
      </c>
      <c r="P119" s="12" t="s">
        <v>28</v>
      </c>
    </row>
    <row r="120" spans="1:16" x14ac:dyDescent="0.3">
      <c r="A120" s="12">
        <v>219</v>
      </c>
      <c r="B120" s="12" t="s">
        <v>498</v>
      </c>
      <c r="C120" s="12" t="s">
        <v>40</v>
      </c>
      <c r="D120" s="12" t="s">
        <v>447</v>
      </c>
      <c r="E120" s="12" t="s">
        <v>499</v>
      </c>
      <c r="F120" s="12">
        <v>874</v>
      </c>
      <c r="G120" s="12" t="s">
        <v>38</v>
      </c>
      <c r="H120" s="12">
        <v>28</v>
      </c>
      <c r="I120" s="12">
        <v>24</v>
      </c>
      <c r="J120" s="12">
        <v>4</v>
      </c>
      <c r="K120" s="14">
        <v>45440</v>
      </c>
      <c r="L120" s="14">
        <v>46525</v>
      </c>
      <c r="M120" s="12">
        <v>1085</v>
      </c>
      <c r="N120" s="12">
        <v>260</v>
      </c>
      <c r="O120" s="12" t="s">
        <v>500</v>
      </c>
      <c r="P120" s="12" t="s">
        <v>28</v>
      </c>
    </row>
    <row r="121" spans="1:16" x14ac:dyDescent="0.3">
      <c r="A121" s="12">
        <v>220</v>
      </c>
      <c r="B121" s="12" t="s">
        <v>501</v>
      </c>
      <c r="C121" s="12" t="s">
        <v>502</v>
      </c>
      <c r="D121" s="12" t="s">
        <v>447</v>
      </c>
      <c r="E121" s="12" t="s">
        <v>503</v>
      </c>
      <c r="F121" s="12">
        <v>618</v>
      </c>
      <c r="G121" s="12" t="s">
        <v>38</v>
      </c>
      <c r="H121" s="12">
        <v>27</v>
      </c>
      <c r="I121" s="12">
        <v>18</v>
      </c>
      <c r="J121" s="12">
        <v>9</v>
      </c>
      <c r="K121" s="14">
        <v>45441</v>
      </c>
      <c r="L121" s="14">
        <v>46537</v>
      </c>
      <c r="M121" s="12">
        <v>1096</v>
      </c>
      <c r="N121" s="12">
        <v>280</v>
      </c>
      <c r="O121" s="12" t="s">
        <v>504</v>
      </c>
      <c r="P121" s="12" t="s">
        <v>34</v>
      </c>
    </row>
    <row r="122" spans="1:16" x14ac:dyDescent="0.3">
      <c r="A122" s="12">
        <v>221</v>
      </c>
      <c r="B122" s="12" t="s">
        <v>505</v>
      </c>
      <c r="C122" s="12" t="s">
        <v>506</v>
      </c>
      <c r="D122" s="12" t="s">
        <v>447</v>
      </c>
      <c r="E122" s="12" t="s">
        <v>507</v>
      </c>
      <c r="F122" s="12">
        <v>488</v>
      </c>
      <c r="G122" s="12" t="s">
        <v>26</v>
      </c>
      <c r="H122" s="12">
        <v>26</v>
      </c>
      <c r="I122" s="12">
        <v>16</v>
      </c>
      <c r="J122" s="12">
        <v>10</v>
      </c>
      <c r="K122" s="14">
        <v>45442</v>
      </c>
      <c r="L122" s="14">
        <v>46540</v>
      </c>
      <c r="M122" s="12">
        <v>1098</v>
      </c>
      <c r="N122" s="12">
        <v>300</v>
      </c>
      <c r="O122" s="12" t="s">
        <v>508</v>
      </c>
      <c r="P122" s="12" t="s">
        <v>28</v>
      </c>
    </row>
    <row r="123" spans="1:16" x14ac:dyDescent="0.3">
      <c r="A123" s="12">
        <v>222</v>
      </c>
      <c r="B123" s="12" t="s">
        <v>509</v>
      </c>
      <c r="C123" s="12" t="s">
        <v>510</v>
      </c>
      <c r="D123" s="12" t="s">
        <v>447</v>
      </c>
      <c r="E123" s="12" t="s">
        <v>511</v>
      </c>
      <c r="F123" s="12">
        <v>578</v>
      </c>
      <c r="G123" s="12" t="s">
        <v>38</v>
      </c>
      <c r="H123" s="12">
        <v>25</v>
      </c>
      <c r="I123" s="12">
        <v>18</v>
      </c>
      <c r="J123" s="12">
        <v>7</v>
      </c>
      <c r="K123" s="14">
        <v>45443</v>
      </c>
      <c r="L123" s="14">
        <v>46554</v>
      </c>
      <c r="M123" s="12">
        <v>1111</v>
      </c>
      <c r="N123" s="12">
        <v>320</v>
      </c>
      <c r="O123" s="12" t="s">
        <v>512</v>
      </c>
      <c r="P123" s="12" t="s">
        <v>22</v>
      </c>
    </row>
    <row r="124" spans="1:16" x14ac:dyDescent="0.3">
      <c r="A124" s="12">
        <v>223</v>
      </c>
      <c r="B124" s="12" t="s">
        <v>513</v>
      </c>
      <c r="C124" s="12" t="s">
        <v>514</v>
      </c>
      <c r="D124" s="12" t="s">
        <v>447</v>
      </c>
      <c r="E124" s="12" t="s">
        <v>515</v>
      </c>
      <c r="F124" s="12">
        <v>972</v>
      </c>
      <c r="G124" s="12" t="s">
        <v>38</v>
      </c>
      <c r="H124" s="12">
        <v>24</v>
      </c>
      <c r="I124" s="12">
        <v>17</v>
      </c>
      <c r="J124" s="12">
        <v>7</v>
      </c>
      <c r="K124" s="14">
        <v>45444</v>
      </c>
      <c r="L124" s="14">
        <v>46566</v>
      </c>
      <c r="M124" s="12">
        <v>1122</v>
      </c>
      <c r="N124" s="12">
        <v>340</v>
      </c>
      <c r="O124" s="12" t="s">
        <v>516</v>
      </c>
      <c r="P124" s="12" t="s">
        <v>28</v>
      </c>
    </row>
    <row r="125" spans="1:16" x14ac:dyDescent="0.3">
      <c r="A125" s="12">
        <v>224</v>
      </c>
      <c r="B125" s="12" t="s">
        <v>83</v>
      </c>
      <c r="C125" s="12" t="s">
        <v>517</v>
      </c>
      <c r="D125" s="12" t="s">
        <v>447</v>
      </c>
      <c r="E125" s="12" t="s">
        <v>518</v>
      </c>
      <c r="F125" s="12">
        <v>689</v>
      </c>
      <c r="G125" s="12" t="s">
        <v>38</v>
      </c>
      <c r="H125" s="12">
        <v>23</v>
      </c>
      <c r="I125" s="12">
        <v>14</v>
      </c>
      <c r="J125" s="12">
        <v>9</v>
      </c>
      <c r="K125" s="14">
        <v>45445</v>
      </c>
      <c r="L125" s="14">
        <v>46571</v>
      </c>
      <c r="M125" s="12">
        <v>1126</v>
      </c>
      <c r="N125" s="12">
        <v>360</v>
      </c>
      <c r="O125" s="12" t="s">
        <v>519</v>
      </c>
      <c r="P125" s="12" t="s">
        <v>28</v>
      </c>
    </row>
    <row r="126" spans="1:16" x14ac:dyDescent="0.3">
      <c r="A126" s="12">
        <v>225</v>
      </c>
      <c r="B126" s="12" t="s">
        <v>520</v>
      </c>
      <c r="C126" s="12" t="s">
        <v>521</v>
      </c>
      <c r="D126" s="12" t="s">
        <v>447</v>
      </c>
      <c r="E126" s="12" t="s">
        <v>522</v>
      </c>
      <c r="F126" s="12">
        <v>430</v>
      </c>
      <c r="G126" s="12" t="s">
        <v>65</v>
      </c>
      <c r="H126" s="12">
        <v>22</v>
      </c>
      <c r="I126" s="12">
        <v>15</v>
      </c>
      <c r="J126" s="12">
        <v>7</v>
      </c>
      <c r="K126" s="14">
        <v>45446</v>
      </c>
      <c r="L126" s="14">
        <v>46585</v>
      </c>
      <c r="M126" s="12">
        <v>1139</v>
      </c>
      <c r="N126" s="12">
        <v>380</v>
      </c>
      <c r="O126" s="12" t="s">
        <v>523</v>
      </c>
      <c r="P126" s="12" t="s">
        <v>28</v>
      </c>
    </row>
    <row r="127" spans="1:16" x14ac:dyDescent="0.3">
      <c r="A127" s="12">
        <v>226</v>
      </c>
      <c r="B127" s="12" t="s">
        <v>524</v>
      </c>
      <c r="C127" s="12" t="s">
        <v>525</v>
      </c>
      <c r="D127" s="12" t="s">
        <v>526</v>
      </c>
      <c r="E127" s="12" t="s">
        <v>527</v>
      </c>
      <c r="F127" s="12">
        <v>240</v>
      </c>
      <c r="G127" s="12" t="s">
        <v>26</v>
      </c>
      <c r="H127" s="12">
        <v>21</v>
      </c>
      <c r="I127" s="12">
        <v>16</v>
      </c>
      <c r="J127" s="12">
        <v>5</v>
      </c>
      <c r="K127" s="14">
        <v>45447</v>
      </c>
      <c r="L127" s="14">
        <v>46598</v>
      </c>
      <c r="M127" s="12">
        <v>1151</v>
      </c>
      <c r="N127" s="12">
        <v>400</v>
      </c>
      <c r="O127" s="12" t="s">
        <v>528</v>
      </c>
      <c r="P127" s="12" t="s">
        <v>28</v>
      </c>
    </row>
    <row r="128" spans="1:16" x14ac:dyDescent="0.3">
      <c r="A128" s="12">
        <v>227</v>
      </c>
      <c r="B128" s="12" t="s">
        <v>529</v>
      </c>
      <c r="C128" s="12" t="s">
        <v>530</v>
      </c>
      <c r="D128" s="12" t="s">
        <v>526</v>
      </c>
      <c r="E128" s="12" t="s">
        <v>531</v>
      </c>
      <c r="F128" s="12">
        <v>227</v>
      </c>
      <c r="G128" s="12" t="s">
        <v>32</v>
      </c>
      <c r="H128" s="12">
        <v>20</v>
      </c>
      <c r="I128" s="12">
        <v>17</v>
      </c>
      <c r="J128" s="12">
        <v>3</v>
      </c>
      <c r="K128" s="14">
        <v>45448</v>
      </c>
      <c r="L128" s="14">
        <v>46603</v>
      </c>
      <c r="M128" s="12">
        <v>1155</v>
      </c>
      <c r="N128" s="12">
        <v>420</v>
      </c>
      <c r="O128" s="12" t="s">
        <v>532</v>
      </c>
      <c r="P128" s="12" t="s">
        <v>28</v>
      </c>
    </row>
    <row r="129" spans="1:16" x14ac:dyDescent="0.3">
      <c r="A129" s="12">
        <v>228</v>
      </c>
      <c r="B129" s="12" t="s">
        <v>533</v>
      </c>
      <c r="C129" s="12" t="s">
        <v>534</v>
      </c>
      <c r="D129" s="12" t="s">
        <v>526</v>
      </c>
      <c r="E129" s="12" t="s">
        <v>535</v>
      </c>
      <c r="F129" s="12">
        <v>334</v>
      </c>
      <c r="G129" s="12" t="s">
        <v>20</v>
      </c>
      <c r="H129" s="12">
        <v>19</v>
      </c>
      <c r="I129" s="12">
        <v>2</v>
      </c>
      <c r="J129" s="12">
        <v>17</v>
      </c>
      <c r="K129" s="14">
        <v>45449</v>
      </c>
      <c r="L129" s="14">
        <v>46617</v>
      </c>
      <c r="M129" s="12">
        <v>1168</v>
      </c>
      <c r="N129" s="12">
        <v>440</v>
      </c>
      <c r="O129" s="12" t="s">
        <v>536</v>
      </c>
      <c r="P129" s="12" t="s">
        <v>28</v>
      </c>
    </row>
    <row r="130" spans="1:16" x14ac:dyDescent="0.3">
      <c r="A130" s="12">
        <v>229</v>
      </c>
      <c r="B130" s="12" t="s">
        <v>537</v>
      </c>
      <c r="C130" s="12" t="s">
        <v>538</v>
      </c>
      <c r="D130" s="12" t="s">
        <v>526</v>
      </c>
      <c r="E130" s="12" t="s">
        <v>539</v>
      </c>
      <c r="F130" s="12">
        <v>400</v>
      </c>
      <c r="G130" s="12" t="s">
        <v>32</v>
      </c>
      <c r="H130" s="12">
        <v>18</v>
      </c>
      <c r="I130" s="12">
        <v>17</v>
      </c>
      <c r="J130" s="12">
        <v>1</v>
      </c>
      <c r="K130" s="14">
        <v>45450</v>
      </c>
      <c r="L130" s="14">
        <v>46628</v>
      </c>
      <c r="M130" s="12">
        <v>1178</v>
      </c>
      <c r="N130" s="12">
        <v>460</v>
      </c>
      <c r="O130" s="12" t="s">
        <v>540</v>
      </c>
      <c r="P130" s="12" t="s">
        <v>34</v>
      </c>
    </row>
    <row r="131" spans="1:16" x14ac:dyDescent="0.3">
      <c r="A131" s="12">
        <v>230</v>
      </c>
      <c r="B131" s="12" t="s">
        <v>541</v>
      </c>
      <c r="C131" s="12" t="s">
        <v>542</v>
      </c>
      <c r="D131" s="12" t="s">
        <v>526</v>
      </c>
      <c r="E131" s="12" t="s">
        <v>543</v>
      </c>
      <c r="F131" s="12">
        <v>979</v>
      </c>
      <c r="G131" s="12" t="s">
        <v>26</v>
      </c>
      <c r="H131" s="12">
        <v>17</v>
      </c>
      <c r="I131" s="12">
        <v>1</v>
      </c>
      <c r="J131" s="12">
        <v>16</v>
      </c>
      <c r="K131" s="14">
        <v>45451</v>
      </c>
      <c r="L131" s="14">
        <v>46635</v>
      </c>
      <c r="M131" s="12">
        <v>1184</v>
      </c>
      <c r="N131" s="12">
        <v>480</v>
      </c>
      <c r="O131" s="12" t="s">
        <v>544</v>
      </c>
      <c r="P131" s="12" t="s">
        <v>28</v>
      </c>
    </row>
    <row r="132" spans="1:16" x14ac:dyDescent="0.3">
      <c r="A132" s="12">
        <v>231</v>
      </c>
      <c r="B132" s="12" t="s">
        <v>545</v>
      </c>
      <c r="C132" s="12" t="s">
        <v>546</v>
      </c>
      <c r="D132" s="12" t="s">
        <v>526</v>
      </c>
      <c r="E132" s="12" t="s">
        <v>547</v>
      </c>
      <c r="F132" s="12">
        <v>232</v>
      </c>
      <c r="G132" s="12" t="s">
        <v>20</v>
      </c>
      <c r="H132" s="12">
        <v>16</v>
      </c>
      <c r="I132" s="12">
        <v>1</v>
      </c>
      <c r="J132" s="12">
        <v>15</v>
      </c>
      <c r="K132" s="14">
        <v>45452</v>
      </c>
      <c r="L132" s="14">
        <v>46647</v>
      </c>
      <c r="M132" s="12">
        <v>1195</v>
      </c>
      <c r="N132" s="12">
        <v>100</v>
      </c>
      <c r="O132" s="12" t="s">
        <v>548</v>
      </c>
      <c r="P132" s="12" t="s">
        <v>34</v>
      </c>
    </row>
    <row r="133" spans="1:16" x14ac:dyDescent="0.3">
      <c r="A133" s="12">
        <v>232</v>
      </c>
      <c r="B133" s="12" t="s">
        <v>549</v>
      </c>
      <c r="C133" s="12" t="s">
        <v>550</v>
      </c>
      <c r="D133" s="12" t="s">
        <v>526</v>
      </c>
      <c r="E133" s="12" t="s">
        <v>551</v>
      </c>
      <c r="F133" s="12">
        <v>247</v>
      </c>
      <c r="G133" s="12" t="s">
        <v>26</v>
      </c>
      <c r="H133" s="12">
        <v>15</v>
      </c>
      <c r="I133" s="12">
        <v>2</v>
      </c>
      <c r="J133" s="12">
        <v>13</v>
      </c>
      <c r="K133" s="14">
        <v>45453</v>
      </c>
      <c r="L133" s="14">
        <v>46660</v>
      </c>
      <c r="M133" s="12">
        <v>1207</v>
      </c>
      <c r="N133" s="12">
        <v>120</v>
      </c>
      <c r="O133" s="12" t="s">
        <v>552</v>
      </c>
      <c r="P133" s="12" t="s">
        <v>34</v>
      </c>
    </row>
    <row r="134" spans="1:16" x14ac:dyDescent="0.3">
      <c r="A134" s="12">
        <v>233</v>
      </c>
      <c r="B134" s="12" t="s">
        <v>553</v>
      </c>
      <c r="C134" s="12" t="s">
        <v>554</v>
      </c>
      <c r="D134" s="12" t="s">
        <v>526</v>
      </c>
      <c r="E134" s="12" t="s">
        <v>555</v>
      </c>
      <c r="F134" s="12">
        <v>702</v>
      </c>
      <c r="G134" s="12" t="s">
        <v>38</v>
      </c>
      <c r="H134" s="12">
        <v>14</v>
      </c>
      <c r="I134" s="12">
        <v>3</v>
      </c>
      <c r="J134" s="12">
        <v>11</v>
      </c>
      <c r="K134" s="14">
        <v>45454</v>
      </c>
      <c r="L134" s="14">
        <v>46663</v>
      </c>
      <c r="M134" s="12">
        <v>1209</v>
      </c>
      <c r="N134" s="12">
        <v>140</v>
      </c>
      <c r="O134" s="12" t="s">
        <v>556</v>
      </c>
      <c r="P134" s="12" t="s">
        <v>34</v>
      </c>
    </row>
    <row r="135" spans="1:16" x14ac:dyDescent="0.3">
      <c r="A135" s="12">
        <v>234</v>
      </c>
      <c r="B135" s="12" t="s">
        <v>557</v>
      </c>
      <c r="C135" s="12" t="s">
        <v>558</v>
      </c>
      <c r="D135" s="12" t="s">
        <v>526</v>
      </c>
      <c r="E135" s="12" t="s">
        <v>559</v>
      </c>
      <c r="F135" s="12">
        <v>606</v>
      </c>
      <c r="G135" s="12" t="s">
        <v>20</v>
      </c>
      <c r="H135" s="12">
        <v>13</v>
      </c>
      <c r="I135" s="12">
        <v>4</v>
      </c>
      <c r="J135" s="12">
        <v>9</v>
      </c>
      <c r="K135" s="14">
        <v>45455</v>
      </c>
      <c r="L135" s="14">
        <v>46676</v>
      </c>
      <c r="M135" s="12">
        <v>1221</v>
      </c>
      <c r="N135" s="12">
        <v>160</v>
      </c>
      <c r="O135" s="12" t="s">
        <v>560</v>
      </c>
      <c r="P135" s="12" t="s">
        <v>34</v>
      </c>
    </row>
    <row r="136" spans="1:16" x14ac:dyDescent="0.3">
      <c r="A136" s="12">
        <v>235</v>
      </c>
      <c r="B136" s="12" t="s">
        <v>561</v>
      </c>
      <c r="C136" s="12" t="s">
        <v>562</v>
      </c>
      <c r="D136" s="12" t="s">
        <v>526</v>
      </c>
      <c r="E136" s="12" t="s">
        <v>563</v>
      </c>
      <c r="F136" s="12">
        <v>773</v>
      </c>
      <c r="G136" s="12" t="s">
        <v>38</v>
      </c>
      <c r="H136" s="12">
        <v>12</v>
      </c>
      <c r="I136" s="12">
        <v>5</v>
      </c>
      <c r="J136" s="12">
        <v>7</v>
      </c>
      <c r="K136" s="14">
        <v>45456</v>
      </c>
      <c r="L136" s="14">
        <v>46688</v>
      </c>
      <c r="M136" s="12">
        <v>1232</v>
      </c>
      <c r="N136" s="12">
        <v>180</v>
      </c>
      <c r="O136" s="12" t="s">
        <v>564</v>
      </c>
      <c r="P136" s="12" t="s">
        <v>28</v>
      </c>
    </row>
    <row r="137" spans="1:16" x14ac:dyDescent="0.3">
      <c r="A137" s="12">
        <v>236</v>
      </c>
      <c r="B137" s="12" t="s">
        <v>565</v>
      </c>
      <c r="C137" s="12" t="s">
        <v>566</v>
      </c>
      <c r="D137" s="12" t="s">
        <v>567</v>
      </c>
      <c r="E137" s="12" t="s">
        <v>568</v>
      </c>
      <c r="F137" s="12">
        <v>927</v>
      </c>
      <c r="G137" s="12" t="s">
        <v>32</v>
      </c>
      <c r="H137" s="12">
        <v>11</v>
      </c>
      <c r="I137" s="12">
        <v>6</v>
      </c>
      <c r="J137" s="12">
        <v>5</v>
      </c>
      <c r="K137" s="14">
        <v>45457</v>
      </c>
      <c r="L137" s="14">
        <v>46695</v>
      </c>
      <c r="M137" s="12">
        <v>1238</v>
      </c>
      <c r="N137" s="12">
        <v>200</v>
      </c>
      <c r="O137" s="12" t="s">
        <v>569</v>
      </c>
      <c r="P137" s="12" t="s">
        <v>28</v>
      </c>
    </row>
    <row r="138" spans="1:16" x14ac:dyDescent="0.3">
      <c r="A138" s="12">
        <v>237</v>
      </c>
      <c r="B138" s="12" t="s">
        <v>570</v>
      </c>
      <c r="C138" s="12" t="s">
        <v>571</v>
      </c>
      <c r="D138" s="12" t="s">
        <v>567</v>
      </c>
      <c r="E138" s="12" t="s">
        <v>572</v>
      </c>
      <c r="F138" s="12">
        <v>298</v>
      </c>
      <c r="G138" s="12" t="s">
        <v>32</v>
      </c>
      <c r="H138" s="12">
        <v>10</v>
      </c>
      <c r="I138" s="12">
        <v>7</v>
      </c>
      <c r="J138" s="12">
        <v>3</v>
      </c>
      <c r="K138" s="14">
        <v>45458</v>
      </c>
      <c r="L138" s="14">
        <v>46708</v>
      </c>
      <c r="M138" s="12">
        <v>1250</v>
      </c>
      <c r="N138" s="12">
        <v>220</v>
      </c>
      <c r="O138" s="12" t="s">
        <v>573</v>
      </c>
      <c r="P138" s="12" t="s">
        <v>28</v>
      </c>
    </row>
    <row r="139" spans="1:16" x14ac:dyDescent="0.3">
      <c r="A139" s="12">
        <v>238</v>
      </c>
      <c r="B139" s="12" t="s">
        <v>574</v>
      </c>
      <c r="C139" s="12" t="s">
        <v>575</v>
      </c>
      <c r="D139" s="12" t="s">
        <v>567</v>
      </c>
      <c r="E139" s="12" t="s">
        <v>576</v>
      </c>
      <c r="F139" s="12">
        <v>883</v>
      </c>
      <c r="G139" s="12" t="s">
        <v>20</v>
      </c>
      <c r="H139" s="12">
        <v>9</v>
      </c>
      <c r="I139" s="12">
        <v>8</v>
      </c>
      <c r="J139" s="12">
        <v>1</v>
      </c>
      <c r="K139" s="14">
        <v>45459</v>
      </c>
      <c r="L139" s="14">
        <v>46720</v>
      </c>
      <c r="M139" s="12">
        <v>1261</v>
      </c>
      <c r="N139" s="12">
        <v>240</v>
      </c>
      <c r="O139" s="12" t="s">
        <v>577</v>
      </c>
      <c r="P139" s="12" t="s">
        <v>34</v>
      </c>
    </row>
    <row r="140" spans="1:16" x14ac:dyDescent="0.3">
      <c r="A140" s="12">
        <v>239</v>
      </c>
      <c r="B140" s="12" t="s">
        <v>578</v>
      </c>
      <c r="C140" s="12" t="s">
        <v>579</v>
      </c>
      <c r="D140" s="12" t="s">
        <v>567</v>
      </c>
      <c r="E140" s="12" t="s">
        <v>580</v>
      </c>
      <c r="F140" s="12">
        <v>925</v>
      </c>
      <c r="G140" s="12" t="s">
        <v>20</v>
      </c>
      <c r="H140" s="12">
        <v>9</v>
      </c>
      <c r="I140" s="12">
        <v>8</v>
      </c>
      <c r="J140" s="12">
        <v>1</v>
      </c>
      <c r="K140" s="14">
        <v>45460</v>
      </c>
      <c r="L140" s="14">
        <v>46726</v>
      </c>
      <c r="M140" s="12">
        <v>1266</v>
      </c>
      <c r="N140" s="12">
        <v>260</v>
      </c>
      <c r="O140" s="12" t="s">
        <v>581</v>
      </c>
      <c r="P140" s="12" t="s">
        <v>22</v>
      </c>
    </row>
    <row r="141" spans="1:16" x14ac:dyDescent="0.3">
      <c r="A141" s="12">
        <v>240</v>
      </c>
      <c r="B141" s="12" t="s">
        <v>582</v>
      </c>
      <c r="C141" s="12" t="s">
        <v>583</v>
      </c>
      <c r="D141" s="12" t="s">
        <v>567</v>
      </c>
      <c r="E141" s="12" t="s">
        <v>584</v>
      </c>
      <c r="F141" s="12">
        <v>746</v>
      </c>
      <c r="G141" s="12" t="s">
        <v>26</v>
      </c>
      <c r="H141" s="12">
        <v>10</v>
      </c>
      <c r="I141" s="12">
        <v>7</v>
      </c>
      <c r="J141" s="12">
        <v>3</v>
      </c>
      <c r="K141" s="14">
        <v>45461</v>
      </c>
      <c r="L141" s="14">
        <v>46739</v>
      </c>
      <c r="M141" s="12">
        <v>1278</v>
      </c>
      <c r="N141" s="12">
        <v>280</v>
      </c>
      <c r="O141" s="12" t="s">
        <v>585</v>
      </c>
      <c r="P141" s="12" t="s">
        <v>28</v>
      </c>
    </row>
    <row r="142" spans="1:16" x14ac:dyDescent="0.3">
      <c r="A142" s="12">
        <v>241</v>
      </c>
      <c r="B142" s="12" t="s">
        <v>586</v>
      </c>
      <c r="C142" s="12" t="s">
        <v>587</v>
      </c>
      <c r="D142" s="12" t="s">
        <v>567</v>
      </c>
      <c r="E142" s="12" t="s">
        <v>588</v>
      </c>
      <c r="F142" s="12">
        <v>938</v>
      </c>
      <c r="G142" s="12" t="s">
        <v>26</v>
      </c>
      <c r="H142" s="12">
        <v>11</v>
      </c>
      <c r="I142" s="12">
        <v>6</v>
      </c>
      <c r="J142" s="12">
        <v>5</v>
      </c>
      <c r="K142" s="14">
        <v>45462</v>
      </c>
      <c r="L142" s="14">
        <v>46751</v>
      </c>
      <c r="M142" s="12">
        <v>1289</v>
      </c>
      <c r="N142" s="12">
        <v>300</v>
      </c>
      <c r="O142" s="12" t="s">
        <v>589</v>
      </c>
      <c r="P142" s="12" t="s">
        <v>28</v>
      </c>
    </row>
    <row r="143" spans="1:16" x14ac:dyDescent="0.3">
      <c r="A143" s="12">
        <v>242</v>
      </c>
      <c r="B143" s="12" t="s">
        <v>590</v>
      </c>
      <c r="C143" s="12" t="s">
        <v>591</v>
      </c>
      <c r="D143" s="12" t="s">
        <v>567</v>
      </c>
      <c r="E143" s="12" t="s">
        <v>592</v>
      </c>
      <c r="F143" s="12">
        <v>812</v>
      </c>
      <c r="G143" s="12" t="s">
        <v>38</v>
      </c>
      <c r="H143" s="12">
        <v>12</v>
      </c>
      <c r="I143" s="12">
        <v>5</v>
      </c>
      <c r="J143" s="12">
        <v>7</v>
      </c>
      <c r="K143" s="14">
        <v>45463</v>
      </c>
      <c r="L143" s="14">
        <v>46756</v>
      </c>
      <c r="M143" s="12">
        <v>1293</v>
      </c>
      <c r="N143" s="12">
        <v>320</v>
      </c>
      <c r="O143" s="12" t="s">
        <v>593</v>
      </c>
      <c r="P143" s="12" t="s">
        <v>22</v>
      </c>
    </row>
    <row r="144" spans="1:16" x14ac:dyDescent="0.3">
      <c r="A144" s="12">
        <v>243</v>
      </c>
      <c r="B144" s="12" t="s">
        <v>594</v>
      </c>
      <c r="C144" s="12" t="s">
        <v>595</v>
      </c>
      <c r="D144" s="12" t="s">
        <v>567</v>
      </c>
      <c r="E144" s="12" t="s">
        <v>596</v>
      </c>
      <c r="F144" s="12">
        <v>661</v>
      </c>
      <c r="G144" s="12" t="s">
        <v>20</v>
      </c>
      <c r="H144" s="12">
        <v>13</v>
      </c>
      <c r="I144" s="12">
        <v>4</v>
      </c>
      <c r="J144" s="12">
        <v>9</v>
      </c>
      <c r="K144" s="14">
        <v>45464</v>
      </c>
      <c r="L144" s="14">
        <v>46768</v>
      </c>
      <c r="M144" s="12">
        <v>1304</v>
      </c>
      <c r="N144" s="12">
        <v>340</v>
      </c>
      <c r="O144" s="12" t="s">
        <v>597</v>
      </c>
      <c r="P144" s="12" t="s">
        <v>107</v>
      </c>
    </row>
    <row r="145" spans="1:16" x14ac:dyDescent="0.3">
      <c r="A145" s="12">
        <v>244</v>
      </c>
      <c r="B145" s="12" t="s">
        <v>598</v>
      </c>
      <c r="C145" s="12" t="s">
        <v>599</v>
      </c>
      <c r="D145" s="12" t="s">
        <v>567</v>
      </c>
      <c r="E145" s="12" t="s">
        <v>600</v>
      </c>
      <c r="F145" s="12">
        <v>842</v>
      </c>
      <c r="G145" s="12" t="s">
        <v>32</v>
      </c>
      <c r="H145" s="12">
        <v>14</v>
      </c>
      <c r="I145" s="12">
        <v>3</v>
      </c>
      <c r="J145" s="12">
        <v>11</v>
      </c>
      <c r="K145" s="14">
        <v>45465</v>
      </c>
      <c r="L145" s="14">
        <v>46780</v>
      </c>
      <c r="M145" s="12">
        <v>1315</v>
      </c>
      <c r="N145" s="12">
        <v>360</v>
      </c>
      <c r="O145" s="12" t="s">
        <v>601</v>
      </c>
      <c r="P145" s="12" t="s">
        <v>34</v>
      </c>
    </row>
    <row r="146" spans="1:16" x14ac:dyDescent="0.3">
      <c r="A146" s="12">
        <v>245</v>
      </c>
      <c r="B146" s="12" t="s">
        <v>602</v>
      </c>
      <c r="C146" s="12" t="s">
        <v>603</v>
      </c>
      <c r="D146" s="12" t="s">
        <v>567</v>
      </c>
      <c r="E146" s="12" t="s">
        <v>604</v>
      </c>
      <c r="F146" s="12">
        <v>968</v>
      </c>
      <c r="G146" s="12" t="s">
        <v>26</v>
      </c>
      <c r="H146" s="12">
        <v>15</v>
      </c>
      <c r="I146" s="12">
        <v>2</v>
      </c>
      <c r="J146" s="12">
        <v>13</v>
      </c>
      <c r="K146" s="14">
        <v>45466</v>
      </c>
      <c r="L146" s="14">
        <v>46788</v>
      </c>
      <c r="M146" s="12">
        <v>1322</v>
      </c>
      <c r="N146" s="12">
        <v>380</v>
      </c>
      <c r="O146" s="12" t="s">
        <v>605</v>
      </c>
      <c r="P146" s="12" t="s">
        <v>28</v>
      </c>
    </row>
    <row r="147" spans="1:16" x14ac:dyDescent="0.3">
      <c r="A147" s="12">
        <v>246</v>
      </c>
      <c r="B147" s="12" t="s">
        <v>606</v>
      </c>
      <c r="C147" s="12" t="s">
        <v>607</v>
      </c>
      <c r="D147" s="12" t="s">
        <v>608</v>
      </c>
      <c r="E147" s="12" t="s">
        <v>609</v>
      </c>
      <c r="F147" s="12">
        <v>204</v>
      </c>
      <c r="G147" s="12" t="s">
        <v>26</v>
      </c>
      <c r="H147" s="12">
        <v>16</v>
      </c>
      <c r="I147" s="12">
        <v>1</v>
      </c>
      <c r="J147" s="12">
        <v>15</v>
      </c>
      <c r="K147" s="14">
        <v>45467</v>
      </c>
      <c r="L147" s="14">
        <v>46800</v>
      </c>
      <c r="M147" s="12">
        <v>1333</v>
      </c>
      <c r="N147" s="12">
        <v>400</v>
      </c>
      <c r="O147" s="12" t="s">
        <v>610</v>
      </c>
      <c r="P147" s="12" t="s">
        <v>22</v>
      </c>
    </row>
    <row r="148" spans="1:16" x14ac:dyDescent="0.3">
      <c r="A148" s="12">
        <v>247</v>
      </c>
      <c r="B148" s="12" t="s">
        <v>611</v>
      </c>
      <c r="C148" s="12" t="s">
        <v>612</v>
      </c>
      <c r="D148" s="12" t="s">
        <v>608</v>
      </c>
      <c r="E148" s="12" t="s">
        <v>613</v>
      </c>
      <c r="F148" s="12">
        <v>417</v>
      </c>
      <c r="G148" s="12" t="s">
        <v>32</v>
      </c>
      <c r="H148" s="12">
        <v>49</v>
      </c>
      <c r="I148" s="12">
        <v>34</v>
      </c>
      <c r="J148" s="12">
        <v>15</v>
      </c>
      <c r="K148" s="14">
        <v>45468</v>
      </c>
      <c r="L148" s="14">
        <v>46812</v>
      </c>
      <c r="M148" s="12">
        <v>1344</v>
      </c>
      <c r="N148" s="12">
        <v>420</v>
      </c>
      <c r="O148" s="12" t="s">
        <v>614</v>
      </c>
      <c r="P148" s="12" t="s">
        <v>28</v>
      </c>
    </row>
    <row r="149" spans="1:16" x14ac:dyDescent="0.3">
      <c r="A149" s="12">
        <v>248</v>
      </c>
      <c r="B149" s="12" t="s">
        <v>615</v>
      </c>
      <c r="C149" s="12" t="s">
        <v>616</v>
      </c>
      <c r="D149" s="12" t="s">
        <v>608</v>
      </c>
      <c r="E149" s="12" t="s">
        <v>617</v>
      </c>
      <c r="F149" s="12">
        <v>702</v>
      </c>
      <c r="G149" s="12" t="s">
        <v>26</v>
      </c>
      <c r="H149" s="12">
        <v>48</v>
      </c>
      <c r="I149" s="12">
        <v>41</v>
      </c>
      <c r="J149" s="12">
        <v>7</v>
      </c>
      <c r="K149" s="14">
        <v>45469</v>
      </c>
      <c r="L149" s="14">
        <v>46816</v>
      </c>
      <c r="M149" s="12">
        <v>1347</v>
      </c>
      <c r="N149" s="12">
        <v>440</v>
      </c>
      <c r="O149" s="12" t="s">
        <v>74</v>
      </c>
      <c r="P149" s="12" t="s">
        <v>34</v>
      </c>
    </row>
    <row r="150" spans="1:16" x14ac:dyDescent="0.3">
      <c r="A150" s="12">
        <v>249</v>
      </c>
      <c r="B150" s="12" t="s">
        <v>618</v>
      </c>
      <c r="C150" s="12" t="s">
        <v>619</v>
      </c>
      <c r="D150" s="12" t="s">
        <v>608</v>
      </c>
      <c r="E150" s="12" t="s">
        <v>620</v>
      </c>
      <c r="F150" s="12">
        <v>966</v>
      </c>
      <c r="G150" s="12" t="s">
        <v>38</v>
      </c>
      <c r="H150" s="12">
        <v>47</v>
      </c>
      <c r="I150" s="12">
        <v>32</v>
      </c>
      <c r="J150" s="12">
        <v>15</v>
      </c>
      <c r="K150" s="14">
        <v>45470</v>
      </c>
      <c r="L150" s="14">
        <v>46828</v>
      </c>
      <c r="M150" s="12">
        <v>1358</v>
      </c>
      <c r="N150" s="12">
        <v>460</v>
      </c>
      <c r="O150" s="12" t="s">
        <v>621</v>
      </c>
      <c r="P150" s="12" t="s">
        <v>28</v>
      </c>
    </row>
    <row r="151" spans="1:16" x14ac:dyDescent="0.3">
      <c r="A151" s="12">
        <v>250</v>
      </c>
      <c r="B151" s="12" t="s">
        <v>622</v>
      </c>
      <c r="C151" s="12" t="s">
        <v>623</v>
      </c>
      <c r="D151" s="12" t="s">
        <v>608</v>
      </c>
      <c r="E151" s="12" t="s">
        <v>624</v>
      </c>
      <c r="F151" s="12">
        <v>597</v>
      </c>
      <c r="G151" s="12" t="s">
        <v>20</v>
      </c>
      <c r="H151" s="12">
        <v>46</v>
      </c>
      <c r="I151" s="12">
        <v>35</v>
      </c>
      <c r="J151" s="12">
        <v>11</v>
      </c>
      <c r="K151" s="14">
        <v>45471</v>
      </c>
      <c r="L151" s="14">
        <v>46840</v>
      </c>
      <c r="M151" s="12">
        <v>1369</v>
      </c>
      <c r="N151" s="12">
        <v>480</v>
      </c>
      <c r="O151" s="12" t="s">
        <v>625</v>
      </c>
      <c r="P151" s="12" t="s">
        <v>22</v>
      </c>
    </row>
    <row r="152" spans="1:16" x14ac:dyDescent="0.3">
      <c r="A152" s="12">
        <v>251</v>
      </c>
      <c r="B152" s="12" t="s">
        <v>626</v>
      </c>
      <c r="C152" s="12" t="s">
        <v>627</v>
      </c>
      <c r="D152" s="12" t="s">
        <v>606</v>
      </c>
      <c r="E152" s="12" t="s">
        <v>628</v>
      </c>
      <c r="F152" s="12">
        <v>994</v>
      </c>
      <c r="G152" s="12" t="s">
        <v>32</v>
      </c>
      <c r="H152" s="12">
        <v>45</v>
      </c>
      <c r="I152" s="12">
        <v>30</v>
      </c>
      <c r="J152" s="12">
        <v>15</v>
      </c>
      <c r="K152" s="14">
        <v>45472</v>
      </c>
      <c r="L152" s="14">
        <v>46846</v>
      </c>
      <c r="M152" s="12">
        <v>1374</v>
      </c>
      <c r="N152" s="12">
        <v>800</v>
      </c>
      <c r="O152" s="12" t="s">
        <v>629</v>
      </c>
      <c r="P152" s="12" t="s">
        <v>28</v>
      </c>
    </row>
    <row r="153" spans="1:16" x14ac:dyDescent="0.3">
      <c r="A153" s="12">
        <v>252</v>
      </c>
      <c r="B153" s="12" t="s">
        <v>630</v>
      </c>
      <c r="C153" s="12" t="s">
        <v>631</v>
      </c>
      <c r="D153" s="12" t="s">
        <v>606</v>
      </c>
      <c r="E153" s="12" t="s">
        <v>632</v>
      </c>
      <c r="F153" s="12">
        <v>592</v>
      </c>
      <c r="G153" s="12" t="s">
        <v>20</v>
      </c>
      <c r="H153" s="12">
        <v>44</v>
      </c>
      <c r="I153" s="12">
        <v>25</v>
      </c>
      <c r="J153" s="12">
        <v>19</v>
      </c>
      <c r="K153" s="14">
        <v>45473</v>
      </c>
      <c r="L153" s="14">
        <v>46858</v>
      </c>
      <c r="M153" s="12">
        <v>1385</v>
      </c>
      <c r="N153" s="12">
        <v>100</v>
      </c>
      <c r="O153" s="12" t="s">
        <v>633</v>
      </c>
      <c r="P153" s="12" t="s">
        <v>28</v>
      </c>
    </row>
    <row r="154" spans="1:16" x14ac:dyDescent="0.3">
      <c r="A154" s="12">
        <v>253</v>
      </c>
      <c r="B154" s="12" t="s">
        <v>634</v>
      </c>
      <c r="C154" s="12" t="s">
        <v>635</v>
      </c>
      <c r="D154" s="12" t="s">
        <v>606</v>
      </c>
      <c r="E154" s="12" t="s">
        <v>636</v>
      </c>
      <c r="F154" s="12">
        <v>406</v>
      </c>
      <c r="G154" s="12" t="s">
        <v>26</v>
      </c>
      <c r="H154" s="12">
        <v>43</v>
      </c>
      <c r="I154" s="12">
        <v>28</v>
      </c>
      <c r="J154" s="12">
        <v>15</v>
      </c>
      <c r="K154" s="14">
        <v>45474</v>
      </c>
      <c r="L154" s="14">
        <v>46872</v>
      </c>
      <c r="M154" s="12">
        <v>1398</v>
      </c>
      <c r="N154" s="12">
        <v>120</v>
      </c>
      <c r="O154" s="12" t="s">
        <v>637</v>
      </c>
      <c r="P154" s="12" t="s">
        <v>22</v>
      </c>
    </row>
    <row r="155" spans="1:16" x14ac:dyDescent="0.3">
      <c r="A155" s="12">
        <v>254</v>
      </c>
      <c r="B155" s="12" t="s">
        <v>638</v>
      </c>
      <c r="C155" s="12" t="s">
        <v>639</v>
      </c>
      <c r="D155" s="12" t="s">
        <v>606</v>
      </c>
      <c r="E155" s="12" t="s">
        <v>640</v>
      </c>
      <c r="F155" s="12">
        <v>214</v>
      </c>
      <c r="G155" s="12" t="s">
        <v>26</v>
      </c>
      <c r="H155" s="12">
        <v>42</v>
      </c>
      <c r="I155" s="12">
        <v>27</v>
      </c>
      <c r="J155" s="12">
        <v>15</v>
      </c>
      <c r="K155" s="14">
        <v>45475</v>
      </c>
      <c r="L155" s="14">
        <v>46877</v>
      </c>
      <c r="M155" s="12">
        <v>1402</v>
      </c>
      <c r="N155" s="12">
        <v>140</v>
      </c>
      <c r="O155" s="12" t="s">
        <v>641</v>
      </c>
      <c r="P155" s="12" t="s">
        <v>34</v>
      </c>
    </row>
    <row r="156" spans="1:16" x14ac:dyDescent="0.3">
      <c r="A156" s="12">
        <v>255</v>
      </c>
      <c r="B156" s="12" t="s">
        <v>642</v>
      </c>
      <c r="C156" s="12" t="s">
        <v>643</v>
      </c>
      <c r="D156" s="12" t="s">
        <v>606</v>
      </c>
      <c r="E156" s="12" t="s">
        <v>644</v>
      </c>
      <c r="F156" s="12">
        <v>753</v>
      </c>
      <c r="G156" s="12" t="s">
        <v>32</v>
      </c>
      <c r="H156" s="12">
        <v>41</v>
      </c>
      <c r="I156" s="12">
        <v>35</v>
      </c>
      <c r="J156" s="12">
        <v>6</v>
      </c>
      <c r="K156" s="14">
        <v>45476</v>
      </c>
      <c r="L156" s="14">
        <v>46891</v>
      </c>
      <c r="M156" s="12">
        <v>1415</v>
      </c>
      <c r="N156" s="12">
        <v>160</v>
      </c>
      <c r="O156" s="12" t="s">
        <v>645</v>
      </c>
      <c r="P156" s="12" t="s">
        <v>34</v>
      </c>
    </row>
    <row r="157" spans="1:16" x14ac:dyDescent="0.3">
      <c r="A157" s="12">
        <v>256</v>
      </c>
      <c r="B157" s="12" t="s">
        <v>646</v>
      </c>
      <c r="C157" s="12" t="s">
        <v>647</v>
      </c>
      <c r="D157" s="12" t="s">
        <v>622</v>
      </c>
      <c r="E157" s="12" t="s">
        <v>648</v>
      </c>
      <c r="F157" s="12">
        <v>660</v>
      </c>
      <c r="G157" s="12" t="s">
        <v>38</v>
      </c>
      <c r="H157" s="12">
        <v>40</v>
      </c>
      <c r="I157" s="12">
        <v>25</v>
      </c>
      <c r="J157" s="12">
        <v>15</v>
      </c>
      <c r="K157" s="14">
        <v>45477</v>
      </c>
      <c r="L157" s="14">
        <v>46903</v>
      </c>
      <c r="M157" s="12">
        <v>1426</v>
      </c>
      <c r="N157" s="12">
        <v>180</v>
      </c>
      <c r="O157" s="12" t="s">
        <v>649</v>
      </c>
      <c r="P157" s="12" t="s">
        <v>28</v>
      </c>
    </row>
    <row r="158" spans="1:16" x14ac:dyDescent="0.3">
      <c r="A158" s="12">
        <v>257</v>
      </c>
      <c r="B158" s="12" t="s">
        <v>650</v>
      </c>
      <c r="C158" s="12" t="s">
        <v>651</v>
      </c>
      <c r="D158" s="12" t="s">
        <v>622</v>
      </c>
      <c r="E158" s="12" t="s">
        <v>652</v>
      </c>
      <c r="F158" s="12">
        <v>890</v>
      </c>
      <c r="G158" s="12" t="s">
        <v>65</v>
      </c>
      <c r="H158" s="12">
        <v>39</v>
      </c>
      <c r="I158" s="12">
        <v>24</v>
      </c>
      <c r="J158" s="12">
        <v>15</v>
      </c>
      <c r="K158" s="14">
        <v>45478</v>
      </c>
      <c r="L158" s="14">
        <v>46906</v>
      </c>
      <c r="M158" s="12">
        <v>1428</v>
      </c>
      <c r="N158" s="12">
        <v>200</v>
      </c>
      <c r="O158" s="12" t="s">
        <v>653</v>
      </c>
      <c r="P158" s="12" t="s">
        <v>22</v>
      </c>
    </row>
    <row r="159" spans="1:16" x14ac:dyDescent="0.3">
      <c r="A159" s="12">
        <v>258</v>
      </c>
      <c r="B159" s="12" t="s">
        <v>654</v>
      </c>
      <c r="C159" s="12" t="s">
        <v>655</v>
      </c>
      <c r="D159" s="12" t="s">
        <v>630</v>
      </c>
      <c r="E159" s="12" t="s">
        <v>656</v>
      </c>
      <c r="F159" s="12">
        <v>774</v>
      </c>
      <c r="G159" s="12" t="s">
        <v>32</v>
      </c>
      <c r="H159" s="12">
        <v>38</v>
      </c>
      <c r="I159" s="12">
        <v>34</v>
      </c>
      <c r="J159" s="12">
        <v>4</v>
      </c>
      <c r="K159" s="14">
        <v>45479</v>
      </c>
      <c r="L159" s="14">
        <v>46920</v>
      </c>
      <c r="M159" s="12">
        <v>1441</v>
      </c>
      <c r="N159" s="12">
        <v>220</v>
      </c>
      <c r="O159" s="12" t="s">
        <v>657</v>
      </c>
      <c r="P159" s="12" t="s">
        <v>28</v>
      </c>
    </row>
    <row r="160" spans="1:16" x14ac:dyDescent="0.3">
      <c r="A160" s="12">
        <v>259</v>
      </c>
      <c r="B160" s="12" t="s">
        <v>658</v>
      </c>
      <c r="C160" s="12" t="s">
        <v>659</v>
      </c>
      <c r="D160" s="12" t="s">
        <v>630</v>
      </c>
      <c r="E160" s="12" t="s">
        <v>660</v>
      </c>
      <c r="F160" s="12">
        <v>942</v>
      </c>
      <c r="G160" s="12" t="s">
        <v>65</v>
      </c>
      <c r="H160" s="12">
        <v>37</v>
      </c>
      <c r="I160" s="12">
        <v>22</v>
      </c>
      <c r="J160" s="12">
        <v>15</v>
      </c>
      <c r="K160" s="14">
        <v>45480</v>
      </c>
      <c r="L160" s="14">
        <v>46932</v>
      </c>
      <c r="M160" s="12">
        <v>1452</v>
      </c>
      <c r="N160" s="12">
        <v>240</v>
      </c>
      <c r="O160" s="12" t="s">
        <v>661</v>
      </c>
      <c r="P160" s="12" t="s">
        <v>28</v>
      </c>
    </row>
    <row r="161" spans="1:16" x14ac:dyDescent="0.3">
      <c r="A161" s="12">
        <v>260</v>
      </c>
      <c r="B161" s="12" t="s">
        <v>662</v>
      </c>
      <c r="C161" s="12" t="s">
        <v>663</v>
      </c>
      <c r="D161" s="12" t="s">
        <v>630</v>
      </c>
      <c r="E161" s="12" t="s">
        <v>664</v>
      </c>
      <c r="F161" s="12">
        <v>440</v>
      </c>
      <c r="G161" s="12" t="s">
        <v>65</v>
      </c>
      <c r="H161" s="12">
        <v>36</v>
      </c>
      <c r="I161" s="12">
        <v>24</v>
      </c>
      <c r="J161" s="12">
        <v>12</v>
      </c>
      <c r="K161" s="14">
        <v>45481</v>
      </c>
      <c r="L161" s="14">
        <v>46937</v>
      </c>
      <c r="M161" s="12">
        <v>1456</v>
      </c>
      <c r="N161" s="12">
        <v>260</v>
      </c>
      <c r="O161" s="12" t="s">
        <v>665</v>
      </c>
      <c r="P161" s="12" t="s">
        <v>28</v>
      </c>
    </row>
    <row r="162" spans="1:16" x14ac:dyDescent="0.3">
      <c r="A162" s="12">
        <v>261</v>
      </c>
      <c r="B162" s="12" t="s">
        <v>666</v>
      </c>
      <c r="C162" s="12" t="s">
        <v>667</v>
      </c>
      <c r="D162" s="12" t="s">
        <v>668</v>
      </c>
      <c r="E162" s="12" t="s">
        <v>669</v>
      </c>
      <c r="F162" s="12">
        <v>763</v>
      </c>
      <c r="G162" s="12" t="s">
        <v>38</v>
      </c>
      <c r="H162" s="12">
        <v>35</v>
      </c>
      <c r="I162" s="12">
        <v>20</v>
      </c>
      <c r="J162" s="12">
        <v>15</v>
      </c>
      <c r="K162" s="14">
        <v>45482</v>
      </c>
      <c r="L162" s="14">
        <v>46951</v>
      </c>
      <c r="M162" s="12">
        <v>1469</v>
      </c>
      <c r="N162" s="12">
        <v>280</v>
      </c>
      <c r="O162" s="12" t="s">
        <v>670</v>
      </c>
      <c r="P162" s="12" t="s">
        <v>28</v>
      </c>
    </row>
    <row r="163" spans="1:16" x14ac:dyDescent="0.3">
      <c r="A163" s="12">
        <v>262</v>
      </c>
      <c r="B163" s="12" t="s">
        <v>671</v>
      </c>
      <c r="C163" s="12" t="s">
        <v>672</v>
      </c>
      <c r="D163" s="12" t="s">
        <v>668</v>
      </c>
      <c r="E163" s="12" t="s">
        <v>673</v>
      </c>
      <c r="F163" s="12">
        <v>295</v>
      </c>
      <c r="G163" s="12" t="s">
        <v>65</v>
      </c>
      <c r="H163" s="12">
        <v>34</v>
      </c>
      <c r="I163" s="12">
        <v>19</v>
      </c>
      <c r="J163" s="12">
        <v>15</v>
      </c>
      <c r="K163" s="14">
        <v>45483</v>
      </c>
      <c r="L163" s="14">
        <v>46964</v>
      </c>
      <c r="M163" s="12">
        <v>1481</v>
      </c>
      <c r="N163" s="12">
        <v>300</v>
      </c>
      <c r="O163" s="12" t="s">
        <v>344</v>
      </c>
      <c r="P163" s="12" t="s">
        <v>28</v>
      </c>
    </row>
    <row r="164" spans="1:16" x14ac:dyDescent="0.3">
      <c r="A164" s="12">
        <v>263</v>
      </c>
      <c r="B164" s="12" t="s">
        <v>674</v>
      </c>
      <c r="C164" s="12" t="s">
        <v>675</v>
      </c>
      <c r="D164" s="12" t="s">
        <v>668</v>
      </c>
      <c r="E164" s="12" t="s">
        <v>676</v>
      </c>
      <c r="F164" s="12">
        <v>933</v>
      </c>
      <c r="G164" s="12" t="s">
        <v>65</v>
      </c>
      <c r="H164" s="12">
        <v>33</v>
      </c>
      <c r="I164" s="12">
        <v>18</v>
      </c>
      <c r="J164" s="12">
        <v>15</v>
      </c>
      <c r="K164" s="14">
        <v>45484</v>
      </c>
      <c r="L164" s="14">
        <v>46969</v>
      </c>
      <c r="M164" s="12">
        <v>1485</v>
      </c>
      <c r="N164" s="12">
        <v>320</v>
      </c>
      <c r="O164" s="12" t="s">
        <v>677</v>
      </c>
      <c r="P164" s="12" t="s">
        <v>22</v>
      </c>
    </row>
    <row r="165" spans="1:16" x14ac:dyDescent="0.3">
      <c r="A165" s="12">
        <v>264</v>
      </c>
      <c r="B165" s="12" t="s">
        <v>678</v>
      </c>
      <c r="C165" s="12" t="s">
        <v>679</v>
      </c>
      <c r="D165" s="12" t="s">
        <v>668</v>
      </c>
      <c r="E165" s="12" t="s">
        <v>680</v>
      </c>
      <c r="F165" s="12">
        <v>684</v>
      </c>
      <c r="G165" s="12" t="s">
        <v>38</v>
      </c>
      <c r="H165" s="12">
        <v>32</v>
      </c>
      <c r="I165" s="12">
        <v>22</v>
      </c>
      <c r="J165" s="12">
        <v>10</v>
      </c>
      <c r="K165" s="14">
        <v>45485</v>
      </c>
      <c r="L165" s="14">
        <v>46983</v>
      </c>
      <c r="M165" s="12">
        <v>1498</v>
      </c>
      <c r="N165" s="12">
        <v>340</v>
      </c>
      <c r="O165" s="12" t="s">
        <v>681</v>
      </c>
      <c r="P165" s="12" t="s">
        <v>28</v>
      </c>
    </row>
    <row r="166" spans="1:16" x14ac:dyDescent="0.3">
      <c r="A166" s="12">
        <v>265</v>
      </c>
      <c r="B166" s="12" t="s">
        <v>682</v>
      </c>
      <c r="C166" s="12" t="s">
        <v>683</v>
      </c>
      <c r="D166" s="12" t="s">
        <v>668</v>
      </c>
      <c r="E166" s="12" t="s">
        <v>684</v>
      </c>
      <c r="F166" s="12">
        <v>606</v>
      </c>
      <c r="G166" s="12" t="s">
        <v>65</v>
      </c>
      <c r="H166" s="12">
        <v>31</v>
      </c>
      <c r="I166" s="12">
        <v>16</v>
      </c>
      <c r="J166" s="12">
        <v>15</v>
      </c>
      <c r="K166" s="14">
        <v>45486</v>
      </c>
      <c r="L166" s="14">
        <v>46994</v>
      </c>
      <c r="M166" s="12">
        <v>1508</v>
      </c>
      <c r="N166" s="12">
        <v>360</v>
      </c>
      <c r="O166" s="12" t="s">
        <v>685</v>
      </c>
      <c r="P166" s="12" t="s">
        <v>28</v>
      </c>
    </row>
    <row r="167" spans="1:16" x14ac:dyDescent="0.3">
      <c r="A167" s="12">
        <v>266</v>
      </c>
      <c r="B167" s="12" t="s">
        <v>686</v>
      </c>
      <c r="C167" s="12" t="s">
        <v>687</v>
      </c>
      <c r="D167" s="12" t="s">
        <v>688</v>
      </c>
      <c r="E167" s="12" t="s">
        <v>689</v>
      </c>
      <c r="F167" s="12">
        <v>430</v>
      </c>
      <c r="G167" s="12" t="s">
        <v>65</v>
      </c>
      <c r="H167" s="12">
        <v>30</v>
      </c>
      <c r="I167" s="12">
        <v>18</v>
      </c>
      <c r="J167" s="12">
        <v>12</v>
      </c>
      <c r="K167" s="14">
        <v>45487</v>
      </c>
      <c r="L167" s="14">
        <v>47001</v>
      </c>
      <c r="M167" s="12">
        <v>1514</v>
      </c>
      <c r="N167" s="12">
        <v>380</v>
      </c>
      <c r="O167" s="12" t="s">
        <v>690</v>
      </c>
      <c r="P167" s="12" t="s">
        <v>28</v>
      </c>
    </row>
    <row r="168" spans="1:16" x14ac:dyDescent="0.3">
      <c r="A168" s="12">
        <v>267</v>
      </c>
      <c r="B168" s="12" t="s">
        <v>691</v>
      </c>
      <c r="C168" s="12" t="s">
        <v>692</v>
      </c>
      <c r="D168" s="12" t="s">
        <v>688</v>
      </c>
      <c r="E168" s="12" t="s">
        <v>693</v>
      </c>
      <c r="F168" s="12">
        <v>948</v>
      </c>
      <c r="G168" s="12" t="s">
        <v>65</v>
      </c>
      <c r="H168" s="12">
        <v>29</v>
      </c>
      <c r="I168" s="12">
        <v>14</v>
      </c>
      <c r="J168" s="12">
        <v>15</v>
      </c>
      <c r="K168" s="14">
        <v>45488</v>
      </c>
      <c r="L168" s="14">
        <v>47013</v>
      </c>
      <c r="M168" s="12">
        <v>1525</v>
      </c>
      <c r="N168" s="12">
        <v>400</v>
      </c>
      <c r="O168" s="12" t="s">
        <v>694</v>
      </c>
      <c r="P168" s="12" t="s">
        <v>28</v>
      </c>
    </row>
    <row r="169" spans="1:16" x14ac:dyDescent="0.3">
      <c r="A169" s="12">
        <v>268</v>
      </c>
      <c r="B169" s="12" t="s">
        <v>695</v>
      </c>
      <c r="C169" s="12" t="s">
        <v>696</v>
      </c>
      <c r="D169" s="12" t="s">
        <v>688</v>
      </c>
      <c r="E169" s="12" t="s">
        <v>697</v>
      </c>
      <c r="F169" s="12">
        <v>854</v>
      </c>
      <c r="G169" s="12" t="s">
        <v>32</v>
      </c>
      <c r="H169" s="12">
        <v>28</v>
      </c>
      <c r="I169" s="12">
        <v>22</v>
      </c>
      <c r="J169" s="12">
        <v>6</v>
      </c>
      <c r="K169" s="14">
        <v>45489</v>
      </c>
      <c r="L169" s="14">
        <v>47026</v>
      </c>
      <c r="M169" s="12">
        <v>1537</v>
      </c>
      <c r="N169" s="12">
        <v>420</v>
      </c>
      <c r="O169" s="12" t="s">
        <v>698</v>
      </c>
      <c r="P169" s="12" t="s">
        <v>28</v>
      </c>
    </row>
    <row r="170" spans="1:16" x14ac:dyDescent="0.3">
      <c r="A170" s="12">
        <v>269</v>
      </c>
      <c r="B170" s="12" t="s">
        <v>699</v>
      </c>
      <c r="C170" s="12" t="s">
        <v>700</v>
      </c>
      <c r="D170" s="12" t="s">
        <v>688</v>
      </c>
      <c r="E170" s="12" t="s">
        <v>701</v>
      </c>
      <c r="F170" s="12">
        <v>370</v>
      </c>
      <c r="G170" s="12" t="s">
        <v>32</v>
      </c>
      <c r="H170" s="12">
        <v>27</v>
      </c>
      <c r="I170" s="12">
        <v>12</v>
      </c>
      <c r="J170" s="12">
        <v>15</v>
      </c>
      <c r="K170" s="14">
        <v>45490</v>
      </c>
      <c r="L170" s="14">
        <v>47029</v>
      </c>
      <c r="M170" s="12">
        <v>1539</v>
      </c>
      <c r="N170" s="12">
        <v>440</v>
      </c>
      <c r="O170" s="12" t="s">
        <v>702</v>
      </c>
      <c r="P170" s="12" t="s">
        <v>28</v>
      </c>
    </row>
    <row r="171" spans="1:16" x14ac:dyDescent="0.3">
      <c r="A171" s="12">
        <v>270</v>
      </c>
      <c r="B171" s="12" t="s">
        <v>703</v>
      </c>
      <c r="C171" s="12" t="s">
        <v>704</v>
      </c>
      <c r="D171" s="12" t="s">
        <v>688</v>
      </c>
      <c r="E171" s="12" t="s">
        <v>705</v>
      </c>
      <c r="F171" s="12">
        <v>740</v>
      </c>
      <c r="G171" s="12" t="s">
        <v>32</v>
      </c>
      <c r="H171" s="12">
        <v>26</v>
      </c>
      <c r="I171" s="12">
        <v>7</v>
      </c>
      <c r="J171" s="12">
        <v>19</v>
      </c>
      <c r="K171" s="14">
        <v>45491</v>
      </c>
      <c r="L171" s="14">
        <v>47042</v>
      </c>
      <c r="M171" s="12">
        <v>1551</v>
      </c>
      <c r="N171" s="12">
        <v>460</v>
      </c>
      <c r="O171" s="12" t="s">
        <v>391</v>
      </c>
      <c r="P171" s="12" t="s">
        <v>28</v>
      </c>
    </row>
    <row r="172" spans="1:16" x14ac:dyDescent="0.3">
      <c r="A172" s="12">
        <v>271</v>
      </c>
      <c r="B172" s="12" t="s">
        <v>706</v>
      </c>
      <c r="C172" s="12" t="s">
        <v>707</v>
      </c>
      <c r="D172" s="12" t="s">
        <v>688</v>
      </c>
      <c r="E172" s="12" t="s">
        <v>708</v>
      </c>
      <c r="F172" s="12">
        <v>235</v>
      </c>
      <c r="G172" s="12" t="s">
        <v>38</v>
      </c>
      <c r="H172" s="12">
        <v>25</v>
      </c>
      <c r="I172" s="12">
        <v>10</v>
      </c>
      <c r="J172" s="12">
        <v>15</v>
      </c>
      <c r="K172" s="14">
        <v>45492</v>
      </c>
      <c r="L172" s="14">
        <v>47054</v>
      </c>
      <c r="M172" s="12">
        <v>1562</v>
      </c>
      <c r="N172" s="12">
        <v>480</v>
      </c>
      <c r="O172" s="12" t="s">
        <v>709</v>
      </c>
      <c r="P172" s="12" t="s">
        <v>34</v>
      </c>
    </row>
    <row r="173" spans="1:16" x14ac:dyDescent="0.3">
      <c r="A173" s="12">
        <v>272</v>
      </c>
      <c r="B173" s="12" t="s">
        <v>710</v>
      </c>
      <c r="C173" s="12" t="s">
        <v>711</v>
      </c>
      <c r="D173" s="12" t="s">
        <v>688</v>
      </c>
      <c r="E173" s="12" t="s">
        <v>712</v>
      </c>
      <c r="F173" s="12">
        <v>724</v>
      </c>
      <c r="G173" s="12" t="s">
        <v>26</v>
      </c>
      <c r="H173" s="12">
        <v>24</v>
      </c>
      <c r="I173" s="12">
        <v>4</v>
      </c>
      <c r="J173" s="12">
        <v>20</v>
      </c>
      <c r="K173" s="14">
        <v>45493</v>
      </c>
      <c r="L173" s="14">
        <v>47061</v>
      </c>
      <c r="M173" s="12">
        <v>1568</v>
      </c>
      <c r="N173" s="12">
        <v>600</v>
      </c>
      <c r="O173" s="12" t="s">
        <v>713</v>
      </c>
      <c r="P173" s="12" t="s">
        <v>34</v>
      </c>
    </row>
    <row r="174" spans="1:16" x14ac:dyDescent="0.3">
      <c r="A174" s="12">
        <v>273</v>
      </c>
      <c r="B174" s="12" t="s">
        <v>714</v>
      </c>
      <c r="C174" s="12" t="s">
        <v>715</v>
      </c>
      <c r="D174" s="12" t="s">
        <v>688</v>
      </c>
      <c r="E174" s="12" t="s">
        <v>716</v>
      </c>
      <c r="F174" s="12">
        <v>359</v>
      </c>
      <c r="G174" s="12" t="s">
        <v>65</v>
      </c>
      <c r="H174" s="12">
        <v>23</v>
      </c>
      <c r="I174" s="12">
        <v>8</v>
      </c>
      <c r="J174" s="12">
        <v>15</v>
      </c>
      <c r="K174" s="14">
        <v>45494</v>
      </c>
      <c r="L174" s="14">
        <v>47074</v>
      </c>
      <c r="M174" s="12">
        <v>1580</v>
      </c>
      <c r="N174" s="12">
        <v>800</v>
      </c>
      <c r="O174" s="12" t="s">
        <v>717</v>
      </c>
      <c r="P174" s="12" t="s">
        <v>28</v>
      </c>
    </row>
    <row r="175" spans="1:16" x14ac:dyDescent="0.3">
      <c r="A175" s="12">
        <v>274</v>
      </c>
      <c r="B175" s="12" t="s">
        <v>718</v>
      </c>
      <c r="C175" s="12" t="s">
        <v>719</v>
      </c>
      <c r="D175" s="12" t="s">
        <v>688</v>
      </c>
      <c r="E175" s="12" t="s">
        <v>720</v>
      </c>
      <c r="F175" s="12">
        <v>898</v>
      </c>
      <c r="G175" s="12" t="s">
        <v>65</v>
      </c>
      <c r="H175" s="12">
        <v>22</v>
      </c>
      <c r="I175" s="12">
        <v>13</v>
      </c>
      <c r="J175" s="12">
        <v>9</v>
      </c>
      <c r="K175" s="14">
        <v>45495</v>
      </c>
      <c r="L175" s="14">
        <v>47086</v>
      </c>
      <c r="M175" s="12">
        <v>1591</v>
      </c>
      <c r="N175" s="12">
        <v>100</v>
      </c>
      <c r="O175" s="12" t="s">
        <v>721</v>
      </c>
      <c r="P175" s="12" t="s">
        <v>28</v>
      </c>
    </row>
    <row r="176" spans="1:16" x14ac:dyDescent="0.3">
      <c r="A176" s="12">
        <v>275</v>
      </c>
      <c r="B176" s="12" t="s">
        <v>722</v>
      </c>
      <c r="C176" s="12" t="s">
        <v>723</v>
      </c>
      <c r="D176" s="12" t="s">
        <v>688</v>
      </c>
      <c r="E176" s="12" t="s">
        <v>724</v>
      </c>
      <c r="F176" s="12">
        <v>442</v>
      </c>
      <c r="G176" s="12" t="s">
        <v>38</v>
      </c>
      <c r="H176" s="12">
        <v>21</v>
      </c>
      <c r="I176" s="12">
        <v>6</v>
      </c>
      <c r="J176" s="12">
        <v>15</v>
      </c>
      <c r="K176" s="14">
        <v>45879</v>
      </c>
      <c r="L176" s="14">
        <v>47092</v>
      </c>
      <c r="M176" s="12">
        <v>1213</v>
      </c>
      <c r="N176" s="12">
        <v>120</v>
      </c>
      <c r="O176" s="12" t="s">
        <v>725</v>
      </c>
      <c r="P176" s="12" t="s">
        <v>28</v>
      </c>
    </row>
    <row r="177" spans="1:16" x14ac:dyDescent="0.3">
      <c r="A177" s="12">
        <v>276</v>
      </c>
      <c r="B177" s="12" t="s">
        <v>726</v>
      </c>
      <c r="C177" s="12" t="s">
        <v>538</v>
      </c>
      <c r="D177" s="12" t="s">
        <v>727</v>
      </c>
      <c r="E177" s="12" t="s">
        <v>728</v>
      </c>
      <c r="F177" s="12">
        <v>285</v>
      </c>
      <c r="G177" s="12" t="s">
        <v>65</v>
      </c>
      <c r="H177" s="12">
        <v>20</v>
      </c>
      <c r="I177" s="12">
        <v>6</v>
      </c>
      <c r="J177" s="12">
        <v>14</v>
      </c>
      <c r="K177" s="14">
        <v>45878</v>
      </c>
      <c r="L177" s="14">
        <v>47105</v>
      </c>
      <c r="M177" s="12">
        <v>1227</v>
      </c>
      <c r="N177" s="12">
        <v>140</v>
      </c>
      <c r="O177" s="12" t="s">
        <v>729</v>
      </c>
      <c r="P177" s="12" t="s">
        <v>28</v>
      </c>
    </row>
    <row r="178" spans="1:16" x14ac:dyDescent="0.3">
      <c r="A178" s="12">
        <v>277</v>
      </c>
      <c r="B178" s="12" t="s">
        <v>730</v>
      </c>
      <c r="C178" s="12" t="s">
        <v>731</v>
      </c>
      <c r="D178" s="12" t="s">
        <v>727</v>
      </c>
      <c r="E178" s="12" t="s">
        <v>732</v>
      </c>
      <c r="F178" s="12">
        <v>995</v>
      </c>
      <c r="G178" s="12" t="s">
        <v>32</v>
      </c>
      <c r="H178" s="12">
        <v>19</v>
      </c>
      <c r="I178" s="12">
        <v>7</v>
      </c>
      <c r="J178" s="12">
        <v>12</v>
      </c>
      <c r="K178" s="14">
        <v>45877</v>
      </c>
      <c r="L178" s="14">
        <v>47117</v>
      </c>
      <c r="M178" s="12">
        <v>1240</v>
      </c>
      <c r="N178" s="12">
        <v>160</v>
      </c>
      <c r="O178" s="12" t="s">
        <v>516</v>
      </c>
      <c r="P178" s="12" t="s">
        <v>28</v>
      </c>
    </row>
    <row r="179" spans="1:16" x14ac:dyDescent="0.3">
      <c r="A179" s="12">
        <v>278</v>
      </c>
      <c r="B179" s="12" t="s">
        <v>733</v>
      </c>
      <c r="C179" s="12" t="s">
        <v>734</v>
      </c>
      <c r="D179" s="12" t="s">
        <v>727</v>
      </c>
      <c r="E179" s="12" t="s">
        <v>735</v>
      </c>
      <c r="F179" s="12">
        <v>777</v>
      </c>
      <c r="G179" s="12" t="s">
        <v>26</v>
      </c>
      <c r="H179" s="12">
        <v>18</v>
      </c>
      <c r="I179" s="12">
        <v>3</v>
      </c>
      <c r="J179" s="12">
        <v>15</v>
      </c>
      <c r="K179" s="14">
        <v>45876</v>
      </c>
      <c r="L179" s="14">
        <v>45890</v>
      </c>
      <c r="M179" s="12">
        <v>14</v>
      </c>
      <c r="N179" s="12">
        <v>180</v>
      </c>
      <c r="O179" s="12" t="s">
        <v>593</v>
      </c>
      <c r="P179" s="12" t="s">
        <v>34</v>
      </c>
    </row>
    <row r="180" spans="1:16" x14ac:dyDescent="0.3">
      <c r="A180" s="12">
        <v>279</v>
      </c>
      <c r="B180" s="12" t="s">
        <v>736</v>
      </c>
      <c r="C180" s="12" t="s">
        <v>737</v>
      </c>
      <c r="D180" s="12" t="s">
        <v>727</v>
      </c>
      <c r="E180" s="12" t="s">
        <v>738</v>
      </c>
      <c r="F180" s="12">
        <v>881</v>
      </c>
      <c r="G180" s="12" t="s">
        <v>20</v>
      </c>
      <c r="H180" s="12">
        <v>17</v>
      </c>
      <c r="I180" s="12">
        <v>9</v>
      </c>
      <c r="J180" s="12">
        <v>8</v>
      </c>
      <c r="K180" s="14">
        <v>45875</v>
      </c>
      <c r="L180" s="14">
        <v>45893</v>
      </c>
      <c r="M180" s="12">
        <v>18</v>
      </c>
      <c r="N180" s="12">
        <v>200</v>
      </c>
      <c r="O180" s="12" t="s">
        <v>185</v>
      </c>
      <c r="P180" s="12" t="s">
        <v>22</v>
      </c>
    </row>
    <row r="181" spans="1:16" x14ac:dyDescent="0.3">
      <c r="A181" s="12">
        <v>280</v>
      </c>
      <c r="B181" s="12" t="s">
        <v>739</v>
      </c>
      <c r="C181" s="12" t="s">
        <v>740</v>
      </c>
      <c r="D181" s="12" t="s">
        <v>727</v>
      </c>
      <c r="E181" s="12" t="s">
        <v>741</v>
      </c>
      <c r="F181" s="12">
        <v>756</v>
      </c>
      <c r="G181" s="12" t="s">
        <v>65</v>
      </c>
      <c r="H181" s="12">
        <v>16</v>
      </c>
      <c r="I181" s="12">
        <v>1</v>
      </c>
      <c r="J181" s="12">
        <v>15</v>
      </c>
      <c r="K181" s="14">
        <v>45874</v>
      </c>
      <c r="L181" s="14">
        <v>45885</v>
      </c>
      <c r="M181" s="12">
        <v>11</v>
      </c>
      <c r="N181" s="12">
        <v>220</v>
      </c>
      <c r="O181" s="12" t="s">
        <v>742</v>
      </c>
      <c r="P181" s="12" t="s">
        <v>28</v>
      </c>
    </row>
    <row r="182" spans="1:16" x14ac:dyDescent="0.3">
      <c r="A182" s="12">
        <v>281</v>
      </c>
      <c r="B182" s="12" t="s">
        <v>743</v>
      </c>
      <c r="C182" s="12" t="s">
        <v>744</v>
      </c>
      <c r="D182" s="12" t="s">
        <v>727</v>
      </c>
      <c r="E182" s="12" t="s">
        <v>745</v>
      </c>
      <c r="F182" s="12">
        <v>773</v>
      </c>
      <c r="G182" s="12" t="s">
        <v>32</v>
      </c>
      <c r="H182" s="12">
        <v>15</v>
      </c>
      <c r="I182" s="12">
        <v>1</v>
      </c>
      <c r="J182" s="12">
        <v>14</v>
      </c>
      <c r="K182" s="14">
        <v>45873</v>
      </c>
      <c r="L182" s="14">
        <v>45887</v>
      </c>
      <c r="M182" s="12">
        <v>14</v>
      </c>
      <c r="N182" s="12">
        <v>240</v>
      </c>
      <c r="O182" s="12" t="s">
        <v>746</v>
      </c>
      <c r="P182" s="12" t="s">
        <v>28</v>
      </c>
    </row>
    <row r="183" spans="1:16" x14ac:dyDescent="0.3">
      <c r="A183" s="12">
        <v>282</v>
      </c>
      <c r="B183" s="12" t="s">
        <v>747</v>
      </c>
      <c r="C183" s="12" t="s">
        <v>748</v>
      </c>
      <c r="D183" s="12" t="s">
        <v>727</v>
      </c>
      <c r="E183" s="12" t="s">
        <v>749</v>
      </c>
      <c r="F183" s="12">
        <v>845</v>
      </c>
      <c r="G183" s="12" t="s">
        <v>20</v>
      </c>
      <c r="H183" s="12">
        <v>14</v>
      </c>
      <c r="I183" s="12">
        <v>2</v>
      </c>
      <c r="J183" s="12">
        <v>12</v>
      </c>
      <c r="K183" s="14">
        <v>45872</v>
      </c>
      <c r="L183" s="14">
        <v>45893</v>
      </c>
      <c r="M183" s="12">
        <v>21</v>
      </c>
      <c r="N183" s="12">
        <v>260</v>
      </c>
      <c r="O183" s="12" t="s">
        <v>750</v>
      </c>
      <c r="P183" s="12" t="s">
        <v>28</v>
      </c>
    </row>
    <row r="184" spans="1:16" x14ac:dyDescent="0.3">
      <c r="A184" s="12">
        <v>283</v>
      </c>
      <c r="B184" s="12" t="s">
        <v>751</v>
      </c>
      <c r="C184" s="12" t="s">
        <v>752</v>
      </c>
      <c r="D184" s="12" t="s">
        <v>727</v>
      </c>
      <c r="E184" s="12" t="s">
        <v>753</v>
      </c>
      <c r="F184" s="12">
        <v>995</v>
      </c>
      <c r="G184" s="12" t="s">
        <v>26</v>
      </c>
      <c r="H184" s="12">
        <v>13</v>
      </c>
      <c r="I184" s="12">
        <v>3</v>
      </c>
      <c r="J184" s="12">
        <v>10</v>
      </c>
      <c r="K184" s="14">
        <v>45871</v>
      </c>
      <c r="L184" s="14">
        <v>45884</v>
      </c>
      <c r="M184" s="12">
        <v>13</v>
      </c>
      <c r="N184" s="12">
        <v>280</v>
      </c>
      <c r="O184" s="12" t="s">
        <v>754</v>
      </c>
      <c r="P184" s="12" t="s">
        <v>107</v>
      </c>
    </row>
    <row r="185" spans="1:16" x14ac:dyDescent="0.3">
      <c r="A185" s="12">
        <v>284</v>
      </c>
      <c r="B185" s="12" t="s">
        <v>755</v>
      </c>
      <c r="C185" s="12" t="s">
        <v>756</v>
      </c>
      <c r="D185" s="12" t="s">
        <v>727</v>
      </c>
      <c r="E185" s="12" t="s">
        <v>757</v>
      </c>
      <c r="F185" s="12">
        <v>227</v>
      </c>
      <c r="G185" s="12" t="s">
        <v>20</v>
      </c>
      <c r="H185" s="12">
        <v>12</v>
      </c>
      <c r="I185" s="12">
        <v>4</v>
      </c>
      <c r="J185" s="12">
        <v>8</v>
      </c>
      <c r="K185" s="14">
        <v>45870</v>
      </c>
      <c r="L185" s="14">
        <v>45891</v>
      </c>
      <c r="M185" s="12">
        <v>21</v>
      </c>
      <c r="N185" s="12">
        <v>300</v>
      </c>
      <c r="O185" s="12" t="s">
        <v>758</v>
      </c>
      <c r="P185" s="12" t="s">
        <v>28</v>
      </c>
    </row>
    <row r="186" spans="1:16" x14ac:dyDescent="0.3">
      <c r="A186" s="12">
        <v>285</v>
      </c>
      <c r="B186" s="12" t="s">
        <v>759</v>
      </c>
      <c r="C186" s="12" t="s">
        <v>760</v>
      </c>
      <c r="D186" s="12" t="s">
        <v>727</v>
      </c>
      <c r="E186" s="12" t="s">
        <v>761</v>
      </c>
      <c r="F186" s="12">
        <v>819</v>
      </c>
      <c r="G186" s="12" t="s">
        <v>32</v>
      </c>
      <c r="H186" s="12">
        <v>11</v>
      </c>
      <c r="I186" s="12">
        <v>5</v>
      </c>
      <c r="J186" s="12">
        <v>6</v>
      </c>
      <c r="K186" s="14">
        <v>45325</v>
      </c>
      <c r="L186" s="14">
        <v>45354</v>
      </c>
      <c r="M186" s="12">
        <v>29</v>
      </c>
      <c r="N186" s="12">
        <v>320</v>
      </c>
      <c r="O186" s="12" t="s">
        <v>762</v>
      </c>
      <c r="P186" s="12" t="s">
        <v>28</v>
      </c>
    </row>
    <row r="187" spans="1:16" x14ac:dyDescent="0.3">
      <c r="A187" s="12">
        <v>286</v>
      </c>
      <c r="B187" s="12" t="s">
        <v>763</v>
      </c>
      <c r="C187" s="12" t="s">
        <v>764</v>
      </c>
      <c r="D187" s="12" t="s">
        <v>765</v>
      </c>
      <c r="E187" s="12" t="s">
        <v>766</v>
      </c>
      <c r="F187" s="12">
        <v>755</v>
      </c>
      <c r="G187" s="12" t="s">
        <v>20</v>
      </c>
      <c r="H187" s="12">
        <v>10</v>
      </c>
      <c r="I187" s="12">
        <v>6</v>
      </c>
      <c r="J187" s="12">
        <v>4</v>
      </c>
      <c r="K187" s="14">
        <v>45326</v>
      </c>
      <c r="L187" s="14">
        <v>45366</v>
      </c>
      <c r="M187" s="12">
        <v>40</v>
      </c>
      <c r="N187" s="12">
        <v>340</v>
      </c>
      <c r="O187" s="12" t="s">
        <v>767</v>
      </c>
      <c r="P187" s="12" t="s">
        <v>28</v>
      </c>
    </row>
    <row r="188" spans="1:16" x14ac:dyDescent="0.3">
      <c r="A188" s="12">
        <v>287</v>
      </c>
      <c r="B188" s="12" t="s">
        <v>768</v>
      </c>
      <c r="C188" s="12" t="s">
        <v>769</v>
      </c>
      <c r="D188" s="12" t="s">
        <v>765</v>
      </c>
      <c r="E188" s="12" t="s">
        <v>770</v>
      </c>
      <c r="F188" s="12">
        <v>539</v>
      </c>
      <c r="G188" s="12" t="s">
        <v>38</v>
      </c>
      <c r="H188" s="12">
        <v>9</v>
      </c>
      <c r="I188" s="12">
        <v>7</v>
      </c>
      <c r="J188" s="12">
        <v>2</v>
      </c>
      <c r="K188" s="14">
        <v>45327</v>
      </c>
      <c r="L188" s="14">
        <v>45379</v>
      </c>
      <c r="M188" s="12">
        <v>52</v>
      </c>
      <c r="N188" s="12">
        <v>360</v>
      </c>
      <c r="O188" s="12" t="s">
        <v>771</v>
      </c>
      <c r="P188" s="12" t="s">
        <v>34</v>
      </c>
    </row>
    <row r="189" spans="1:16" x14ac:dyDescent="0.3">
      <c r="A189" s="12">
        <v>288</v>
      </c>
      <c r="B189" s="12" t="s">
        <v>772</v>
      </c>
      <c r="C189" s="12" t="s">
        <v>773</v>
      </c>
      <c r="D189" s="12" t="s">
        <v>765</v>
      </c>
      <c r="E189" s="12" t="s">
        <v>774</v>
      </c>
      <c r="F189" s="12">
        <v>997</v>
      </c>
      <c r="G189" s="12" t="s">
        <v>20</v>
      </c>
      <c r="H189" s="12">
        <v>8</v>
      </c>
      <c r="I189" s="12">
        <v>8</v>
      </c>
      <c r="J189" s="12">
        <v>0</v>
      </c>
      <c r="K189" s="14">
        <v>45328</v>
      </c>
      <c r="L189" s="14">
        <v>45388</v>
      </c>
      <c r="M189" s="12">
        <v>60</v>
      </c>
      <c r="N189" s="12">
        <v>380</v>
      </c>
      <c r="O189" s="12" t="s">
        <v>775</v>
      </c>
      <c r="P189" s="12" t="s">
        <v>34</v>
      </c>
    </row>
    <row r="190" spans="1:16" x14ac:dyDescent="0.3">
      <c r="A190" s="12">
        <v>289</v>
      </c>
      <c r="B190" s="12" t="s">
        <v>776</v>
      </c>
      <c r="C190" s="12" t="s">
        <v>777</v>
      </c>
      <c r="D190" s="12" t="s">
        <v>765</v>
      </c>
      <c r="E190" s="12" t="s">
        <v>778</v>
      </c>
      <c r="F190" s="12">
        <v>530</v>
      </c>
      <c r="G190" s="12" t="s">
        <v>65</v>
      </c>
      <c r="H190" s="12">
        <v>11</v>
      </c>
      <c r="I190" s="12">
        <v>6</v>
      </c>
      <c r="J190" s="12">
        <v>5</v>
      </c>
      <c r="K190" s="14">
        <v>45329</v>
      </c>
      <c r="L190" s="14">
        <v>45401</v>
      </c>
      <c r="M190" s="12">
        <v>72</v>
      </c>
      <c r="N190" s="12">
        <v>400</v>
      </c>
      <c r="O190" s="12" t="s">
        <v>779</v>
      </c>
      <c r="P190" s="12" t="s">
        <v>28</v>
      </c>
    </row>
    <row r="191" spans="1:16" x14ac:dyDescent="0.3">
      <c r="A191" s="12">
        <v>290</v>
      </c>
      <c r="B191" s="12" t="s">
        <v>780</v>
      </c>
      <c r="C191" s="12" t="s">
        <v>781</v>
      </c>
      <c r="D191" s="12" t="s">
        <v>765</v>
      </c>
      <c r="E191" s="12" t="s">
        <v>782</v>
      </c>
      <c r="F191" s="12">
        <v>839</v>
      </c>
      <c r="G191" s="12" t="s">
        <v>65</v>
      </c>
      <c r="H191" s="12">
        <v>10</v>
      </c>
      <c r="I191" s="12">
        <v>7</v>
      </c>
      <c r="J191" s="12">
        <v>3</v>
      </c>
      <c r="K191" s="14">
        <v>45330</v>
      </c>
      <c r="L191" s="14">
        <v>45412</v>
      </c>
      <c r="M191" s="12">
        <v>82</v>
      </c>
      <c r="N191" s="12">
        <v>420</v>
      </c>
      <c r="O191" s="12" t="s">
        <v>783</v>
      </c>
      <c r="P191" s="12" t="s">
        <v>28</v>
      </c>
    </row>
    <row r="192" spans="1:16" x14ac:dyDescent="0.3">
      <c r="A192" s="12">
        <v>291</v>
      </c>
      <c r="B192" s="12" t="s">
        <v>784</v>
      </c>
      <c r="C192" s="12" t="s">
        <v>785</v>
      </c>
      <c r="D192" s="12" t="s">
        <v>765</v>
      </c>
      <c r="E192" s="12" t="s">
        <v>786</v>
      </c>
      <c r="F192" s="12">
        <v>705</v>
      </c>
      <c r="G192" s="12" t="s">
        <v>38</v>
      </c>
      <c r="H192" s="12">
        <v>9</v>
      </c>
      <c r="I192" s="12">
        <v>8</v>
      </c>
      <c r="J192" s="12">
        <v>1</v>
      </c>
      <c r="K192" s="14">
        <v>45331</v>
      </c>
      <c r="L192" s="14">
        <v>45416</v>
      </c>
      <c r="M192" s="12">
        <v>85</v>
      </c>
      <c r="N192" s="12">
        <v>440</v>
      </c>
      <c r="O192" s="12" t="s">
        <v>787</v>
      </c>
      <c r="P192" s="12" t="s">
        <v>28</v>
      </c>
    </row>
    <row r="193" spans="1:16" x14ac:dyDescent="0.3">
      <c r="A193" s="12">
        <v>292</v>
      </c>
      <c r="B193" s="12" t="s">
        <v>788</v>
      </c>
      <c r="C193" s="12" t="s">
        <v>789</v>
      </c>
      <c r="D193" s="12" t="s">
        <v>765</v>
      </c>
      <c r="E193" s="12" t="s">
        <v>790</v>
      </c>
      <c r="F193" s="12">
        <v>547</v>
      </c>
      <c r="G193" s="12" t="s">
        <v>32</v>
      </c>
      <c r="H193" s="12">
        <v>9</v>
      </c>
      <c r="I193" s="12">
        <v>4</v>
      </c>
      <c r="J193" s="12">
        <v>5</v>
      </c>
      <c r="K193" s="14">
        <v>45332</v>
      </c>
      <c r="L193" s="14">
        <v>45429</v>
      </c>
      <c r="M193" s="12">
        <v>97</v>
      </c>
      <c r="N193" s="12">
        <v>460</v>
      </c>
      <c r="O193" s="12" t="s">
        <v>791</v>
      </c>
      <c r="P193" s="12" t="s">
        <v>34</v>
      </c>
    </row>
    <row r="194" spans="1:16" x14ac:dyDescent="0.3">
      <c r="A194" s="12">
        <v>293</v>
      </c>
      <c r="B194" s="12" t="s">
        <v>792</v>
      </c>
      <c r="C194" s="12" t="s">
        <v>793</v>
      </c>
      <c r="D194" s="12" t="s">
        <v>765</v>
      </c>
      <c r="E194" s="12" t="s">
        <v>794</v>
      </c>
      <c r="F194" s="12">
        <v>672</v>
      </c>
      <c r="G194" s="12" t="s">
        <v>65</v>
      </c>
      <c r="H194" s="12">
        <v>10</v>
      </c>
      <c r="I194" s="12">
        <v>7</v>
      </c>
      <c r="J194" s="12">
        <v>3</v>
      </c>
      <c r="K194" s="14">
        <v>45333</v>
      </c>
      <c r="L194" s="14">
        <v>45441</v>
      </c>
      <c r="M194" s="12">
        <v>108</v>
      </c>
      <c r="N194" s="12">
        <v>480</v>
      </c>
      <c r="O194" s="12" t="s">
        <v>795</v>
      </c>
      <c r="P194" s="12" t="s">
        <v>28</v>
      </c>
    </row>
    <row r="195" spans="1:16" x14ac:dyDescent="0.3">
      <c r="A195" s="12">
        <v>294</v>
      </c>
      <c r="B195" s="12" t="s">
        <v>796</v>
      </c>
      <c r="C195" s="12" t="s">
        <v>797</v>
      </c>
      <c r="D195" s="12" t="s">
        <v>765</v>
      </c>
      <c r="E195" s="12" t="s">
        <v>798</v>
      </c>
      <c r="F195" s="12">
        <v>430</v>
      </c>
      <c r="G195" s="12" t="s">
        <v>26</v>
      </c>
      <c r="H195" s="12">
        <v>11</v>
      </c>
      <c r="I195" s="12">
        <v>6</v>
      </c>
      <c r="J195" s="12">
        <v>5</v>
      </c>
      <c r="K195" s="14">
        <v>45334</v>
      </c>
      <c r="L195" s="14">
        <v>45445</v>
      </c>
      <c r="M195" s="12">
        <v>111</v>
      </c>
      <c r="N195" s="12">
        <v>400</v>
      </c>
      <c r="O195" s="12" t="s">
        <v>799</v>
      </c>
      <c r="P195" s="12" t="s">
        <v>28</v>
      </c>
    </row>
    <row r="196" spans="1:16" x14ac:dyDescent="0.3">
      <c r="A196" s="12">
        <v>295</v>
      </c>
      <c r="B196" s="12" t="s">
        <v>800</v>
      </c>
      <c r="C196" s="12" t="s">
        <v>801</v>
      </c>
      <c r="D196" s="12" t="s">
        <v>765</v>
      </c>
      <c r="E196" s="12" t="s">
        <v>802</v>
      </c>
      <c r="F196" s="12">
        <v>389</v>
      </c>
      <c r="G196" s="12" t="s">
        <v>65</v>
      </c>
      <c r="H196" s="12">
        <v>12</v>
      </c>
      <c r="I196" s="12">
        <v>5</v>
      </c>
      <c r="J196" s="12">
        <v>7</v>
      </c>
      <c r="K196" s="14">
        <v>45335</v>
      </c>
      <c r="L196" s="14">
        <v>45457</v>
      </c>
      <c r="M196" s="12">
        <v>122</v>
      </c>
      <c r="N196" s="12">
        <v>600</v>
      </c>
      <c r="O196" s="12" t="s">
        <v>803</v>
      </c>
      <c r="P196" s="12" t="s">
        <v>28</v>
      </c>
    </row>
    <row r="197" spans="1:16" x14ac:dyDescent="0.3">
      <c r="A197" s="12">
        <v>296</v>
      </c>
      <c r="B197" s="12" t="s">
        <v>804</v>
      </c>
      <c r="C197" s="12" t="s">
        <v>805</v>
      </c>
      <c r="D197" s="12" t="s">
        <v>806</v>
      </c>
      <c r="E197" s="12" t="s">
        <v>807</v>
      </c>
      <c r="F197" s="12">
        <v>424</v>
      </c>
      <c r="G197" s="12" t="s">
        <v>65</v>
      </c>
      <c r="H197" s="12">
        <v>13</v>
      </c>
      <c r="I197" s="12">
        <v>4</v>
      </c>
      <c r="J197" s="12">
        <v>9</v>
      </c>
      <c r="K197" s="14">
        <v>45336</v>
      </c>
      <c r="L197" s="14">
        <v>45470</v>
      </c>
      <c r="M197" s="12">
        <v>134</v>
      </c>
      <c r="N197" s="12">
        <v>800</v>
      </c>
      <c r="O197" s="12" t="s">
        <v>808</v>
      </c>
      <c r="P197" s="12" t="s">
        <v>28</v>
      </c>
    </row>
    <row r="198" spans="1:16" x14ac:dyDescent="0.3">
      <c r="A198" s="12">
        <v>297</v>
      </c>
      <c r="B198" s="12" t="s">
        <v>809</v>
      </c>
      <c r="C198" s="12" t="s">
        <v>810</v>
      </c>
      <c r="D198" s="12" t="s">
        <v>806</v>
      </c>
      <c r="E198" s="12" t="s">
        <v>811</v>
      </c>
      <c r="F198" s="12">
        <v>584</v>
      </c>
      <c r="G198" s="12" t="s">
        <v>32</v>
      </c>
      <c r="H198" s="12">
        <v>14</v>
      </c>
      <c r="I198" s="12">
        <v>3</v>
      </c>
      <c r="J198" s="12">
        <v>11</v>
      </c>
      <c r="K198" s="14">
        <v>45337</v>
      </c>
      <c r="L198" s="14">
        <v>45478</v>
      </c>
      <c r="M198" s="12">
        <v>141</v>
      </c>
      <c r="N198" s="12">
        <v>100</v>
      </c>
      <c r="O198" s="12" t="s">
        <v>812</v>
      </c>
      <c r="P198" s="12" t="s">
        <v>28</v>
      </c>
    </row>
    <row r="199" spans="1:16" x14ac:dyDescent="0.3">
      <c r="A199" s="12">
        <v>298</v>
      </c>
      <c r="B199" s="12" t="s">
        <v>813</v>
      </c>
      <c r="C199" s="12" t="s">
        <v>814</v>
      </c>
      <c r="D199" s="12" t="s">
        <v>806</v>
      </c>
      <c r="E199" s="12" t="s">
        <v>815</v>
      </c>
      <c r="F199" s="12">
        <v>576</v>
      </c>
      <c r="G199" s="12" t="s">
        <v>20</v>
      </c>
      <c r="H199" s="12">
        <v>15</v>
      </c>
      <c r="I199" s="12">
        <v>2</v>
      </c>
      <c r="J199" s="12">
        <v>13</v>
      </c>
      <c r="K199" s="14">
        <v>45338</v>
      </c>
      <c r="L199" s="14">
        <v>45491</v>
      </c>
      <c r="M199" s="12">
        <v>153</v>
      </c>
      <c r="N199" s="12">
        <v>120</v>
      </c>
      <c r="O199" s="12" t="s">
        <v>816</v>
      </c>
      <c r="P199" s="12" t="s">
        <v>28</v>
      </c>
    </row>
    <row r="200" spans="1:16" x14ac:dyDescent="0.3">
      <c r="A200" s="12">
        <v>299</v>
      </c>
      <c r="B200" s="12" t="s">
        <v>817</v>
      </c>
      <c r="C200" s="12" t="s">
        <v>818</v>
      </c>
      <c r="D200" s="12" t="s">
        <v>806</v>
      </c>
      <c r="E200" s="12" t="s">
        <v>819</v>
      </c>
      <c r="F200" s="12">
        <v>482</v>
      </c>
      <c r="G200" s="12" t="s">
        <v>65</v>
      </c>
      <c r="H200" s="12">
        <v>23</v>
      </c>
      <c r="I200" s="12">
        <v>14</v>
      </c>
      <c r="J200" s="12">
        <v>9</v>
      </c>
      <c r="K200" s="14">
        <v>45339</v>
      </c>
      <c r="L200" s="14">
        <v>45504</v>
      </c>
      <c r="M200" s="12">
        <v>165</v>
      </c>
      <c r="N200" s="12">
        <v>140</v>
      </c>
      <c r="O200" s="12" t="s">
        <v>820</v>
      </c>
      <c r="P200" s="1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EFFA9-03F8-4916-A489-532908005A72}">
  <dimension ref="A1:AO200"/>
  <sheetViews>
    <sheetView workbookViewId="0">
      <selection sqref="A1:P1"/>
    </sheetView>
  </sheetViews>
  <sheetFormatPr defaultRowHeight="14.4" x14ac:dyDescent="0.3"/>
  <cols>
    <col min="2" max="2" width="27.33203125" bestFit="1" customWidth="1"/>
    <col min="3" max="3" width="19.21875" bestFit="1" customWidth="1"/>
    <col min="4" max="4" width="21.109375" bestFit="1" customWidth="1"/>
    <col min="5" max="5" width="15.109375" bestFit="1" customWidth="1"/>
    <col min="11" max="12" width="10.33203125" bestFit="1" customWidth="1"/>
    <col min="13" max="13" width="17.77734375" bestFit="1" customWidth="1"/>
    <col min="14" max="14" width="11.77734375" bestFit="1" customWidth="1"/>
    <col min="15" max="15" width="13.21875" bestFit="1" customWidth="1"/>
    <col min="16" max="16" width="14.21875" bestFit="1" customWidth="1"/>
    <col min="21" max="21" width="18.21875" bestFit="1" customWidth="1"/>
    <col min="29" max="29" width="11.109375" bestFit="1" customWidth="1"/>
  </cols>
  <sheetData>
    <row r="1" spans="1:4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</row>
    <row r="2" spans="1:41" x14ac:dyDescent="0.3">
      <c r="A2" s="12">
        <v>101</v>
      </c>
      <c r="B2" s="12" t="s">
        <v>16</v>
      </c>
      <c r="C2" s="12" t="s">
        <v>17</v>
      </c>
      <c r="D2" s="12" t="s">
        <v>18</v>
      </c>
      <c r="E2" s="12" t="s">
        <v>19</v>
      </c>
      <c r="F2" s="12">
        <v>302</v>
      </c>
      <c r="G2" s="12" t="s">
        <v>20</v>
      </c>
      <c r="H2" s="12">
        <v>45</v>
      </c>
      <c r="I2" s="12">
        <v>23</v>
      </c>
      <c r="J2" s="12">
        <v>22</v>
      </c>
      <c r="K2" s="14">
        <v>45322</v>
      </c>
      <c r="L2" s="14">
        <v>45327</v>
      </c>
      <c r="M2" s="12">
        <v>5</v>
      </c>
      <c r="N2" s="12">
        <v>460</v>
      </c>
      <c r="O2" s="12" t="s">
        <v>21</v>
      </c>
      <c r="P2" s="12" t="s">
        <v>22</v>
      </c>
    </row>
    <row r="3" spans="1:41" x14ac:dyDescent="0.3">
      <c r="A3" s="12">
        <v>102</v>
      </c>
      <c r="B3" s="12" t="s">
        <v>23</v>
      </c>
      <c r="C3" s="12" t="s">
        <v>24</v>
      </c>
      <c r="D3" s="12" t="s">
        <v>18</v>
      </c>
      <c r="E3" s="12" t="s">
        <v>25</v>
      </c>
      <c r="F3" s="12">
        <v>635</v>
      </c>
      <c r="G3" s="12" t="s">
        <v>26</v>
      </c>
      <c r="H3" s="12">
        <v>37</v>
      </c>
      <c r="I3" s="12">
        <v>19</v>
      </c>
      <c r="J3" s="12">
        <v>18</v>
      </c>
      <c r="K3" s="14">
        <v>45323</v>
      </c>
      <c r="L3" s="14">
        <v>45340</v>
      </c>
      <c r="M3" s="12">
        <v>17</v>
      </c>
      <c r="N3" s="12">
        <v>380</v>
      </c>
      <c r="O3" s="12" t="s">
        <v>27</v>
      </c>
      <c r="P3" s="12" t="s">
        <v>28</v>
      </c>
      <c r="S3" s="21" t="s">
        <v>821</v>
      </c>
      <c r="T3" s="21"/>
      <c r="U3" s="21"/>
      <c r="V3" s="21"/>
      <c r="W3" s="21"/>
      <c r="AB3" s="25" t="s">
        <v>825</v>
      </c>
      <c r="AC3" s="25"/>
      <c r="AD3" s="25"/>
      <c r="AE3" s="25"/>
      <c r="AF3" s="25"/>
      <c r="AJ3" s="19" t="s">
        <v>829</v>
      </c>
      <c r="AK3" s="19"/>
      <c r="AL3" s="19"/>
      <c r="AM3" s="19"/>
      <c r="AN3" s="19"/>
    </row>
    <row r="4" spans="1:41" x14ac:dyDescent="0.3">
      <c r="A4" s="12">
        <v>103</v>
      </c>
      <c r="B4" s="12" t="s">
        <v>29</v>
      </c>
      <c r="C4" s="12" t="s">
        <v>30</v>
      </c>
      <c r="D4" s="12" t="s">
        <v>18</v>
      </c>
      <c r="E4" s="12" t="s">
        <v>31</v>
      </c>
      <c r="F4" s="12">
        <v>470</v>
      </c>
      <c r="G4" s="12" t="s">
        <v>32</v>
      </c>
      <c r="H4" s="12">
        <v>49</v>
      </c>
      <c r="I4" s="12">
        <v>25</v>
      </c>
      <c r="J4" s="12">
        <v>24</v>
      </c>
      <c r="K4" s="14">
        <v>45324</v>
      </c>
      <c r="L4" s="14">
        <v>45349</v>
      </c>
      <c r="M4" s="12">
        <v>25</v>
      </c>
      <c r="N4" s="12">
        <v>500</v>
      </c>
      <c r="O4" s="12" t="s">
        <v>33</v>
      </c>
      <c r="P4" s="12" t="s">
        <v>34</v>
      </c>
    </row>
    <row r="5" spans="1:41" x14ac:dyDescent="0.3">
      <c r="A5" s="12">
        <v>104</v>
      </c>
      <c r="B5" s="12" t="s">
        <v>35</v>
      </c>
      <c r="C5" s="12" t="s">
        <v>36</v>
      </c>
      <c r="D5" s="12" t="s">
        <v>18</v>
      </c>
      <c r="E5" s="12" t="s">
        <v>37</v>
      </c>
      <c r="F5" s="12">
        <v>306</v>
      </c>
      <c r="G5" s="12" t="s">
        <v>38</v>
      </c>
      <c r="H5" s="12">
        <v>31</v>
      </c>
      <c r="I5" s="12">
        <v>12</v>
      </c>
      <c r="J5" s="12">
        <v>19</v>
      </c>
      <c r="K5" s="14">
        <v>45325</v>
      </c>
      <c r="L5" s="14">
        <v>45354</v>
      </c>
      <c r="M5" s="12">
        <v>29</v>
      </c>
      <c r="N5" s="12">
        <v>240</v>
      </c>
      <c r="O5" s="12" t="s">
        <v>39</v>
      </c>
      <c r="P5" s="12" t="s">
        <v>34</v>
      </c>
      <c r="U5" s="1">
        <f>COUNTA(A2:A300)</f>
        <v>199</v>
      </c>
      <c r="AC5" s="5">
        <f>MIN(F2:F300)</f>
        <v>201</v>
      </c>
      <c r="AK5" s="9" t="str">
        <f ca="1">IF(L2&lt;TODAY(),"Overdue","Not Overdue")</f>
        <v>Overdue</v>
      </c>
    </row>
    <row r="6" spans="1:41" x14ac:dyDescent="0.3">
      <c r="A6" s="12">
        <v>105</v>
      </c>
      <c r="B6" s="12" t="s">
        <v>41</v>
      </c>
      <c r="C6" s="12" t="s">
        <v>42</v>
      </c>
      <c r="D6" s="12" t="s">
        <v>18</v>
      </c>
      <c r="E6" s="12" t="s">
        <v>43</v>
      </c>
      <c r="F6" s="12">
        <v>271</v>
      </c>
      <c r="G6" s="12" t="s">
        <v>38</v>
      </c>
      <c r="H6" s="12">
        <v>42</v>
      </c>
      <c r="I6" s="12">
        <v>28</v>
      </c>
      <c r="J6" s="12">
        <v>14</v>
      </c>
      <c r="K6" s="14">
        <v>45326</v>
      </c>
      <c r="L6" s="14">
        <v>45366</v>
      </c>
      <c r="M6" s="12">
        <v>40</v>
      </c>
      <c r="N6" s="12">
        <v>560</v>
      </c>
      <c r="O6" s="12" t="s">
        <v>44</v>
      </c>
      <c r="P6" s="12" t="s">
        <v>28</v>
      </c>
    </row>
    <row r="7" spans="1:41" x14ac:dyDescent="0.3">
      <c r="A7" s="12">
        <v>106</v>
      </c>
      <c r="B7" s="12" t="s">
        <v>45</v>
      </c>
      <c r="C7" s="12" t="s">
        <v>46</v>
      </c>
      <c r="D7" s="12" t="s">
        <v>18</v>
      </c>
      <c r="E7" s="12" t="s">
        <v>47</v>
      </c>
      <c r="F7" s="12">
        <v>900</v>
      </c>
      <c r="G7" s="12" t="s">
        <v>32</v>
      </c>
      <c r="H7" s="12">
        <v>28</v>
      </c>
      <c r="I7" s="12">
        <v>9</v>
      </c>
      <c r="J7" s="12">
        <v>19</v>
      </c>
      <c r="K7" s="14">
        <v>45327</v>
      </c>
      <c r="L7" s="14">
        <v>45379</v>
      </c>
      <c r="M7" s="12">
        <v>52</v>
      </c>
      <c r="N7" s="12">
        <v>900</v>
      </c>
      <c r="O7" s="12" t="s">
        <v>48</v>
      </c>
      <c r="P7" s="12" t="s">
        <v>28</v>
      </c>
    </row>
    <row r="8" spans="1:41" x14ac:dyDescent="0.3">
      <c r="A8" s="12">
        <v>107</v>
      </c>
      <c r="B8" s="12" t="s">
        <v>49</v>
      </c>
      <c r="C8" s="12" t="s">
        <v>50</v>
      </c>
      <c r="D8" s="12" t="s">
        <v>18</v>
      </c>
      <c r="E8" s="12" t="s">
        <v>51</v>
      </c>
      <c r="F8" s="12">
        <v>220</v>
      </c>
      <c r="G8" s="12" t="s">
        <v>26</v>
      </c>
      <c r="H8" s="12">
        <v>33</v>
      </c>
      <c r="I8" s="12">
        <v>15</v>
      </c>
      <c r="J8" s="12">
        <v>18</v>
      </c>
      <c r="K8" s="14">
        <v>45328</v>
      </c>
      <c r="L8" s="14">
        <v>45388</v>
      </c>
      <c r="M8" s="12">
        <v>60</v>
      </c>
      <c r="N8" s="12">
        <v>300</v>
      </c>
      <c r="O8" s="12" t="s">
        <v>52</v>
      </c>
      <c r="P8" s="12" t="s">
        <v>34</v>
      </c>
      <c r="S8" s="22" t="s">
        <v>822</v>
      </c>
      <c r="T8" s="22"/>
      <c r="U8" s="22"/>
      <c r="V8" s="22"/>
      <c r="W8" s="22"/>
      <c r="X8" s="22"/>
      <c r="AB8" s="26" t="s">
        <v>826</v>
      </c>
      <c r="AC8" s="26"/>
      <c r="AD8" s="26"/>
      <c r="AE8" s="26"/>
      <c r="AF8" s="26"/>
      <c r="AG8" s="26"/>
      <c r="AJ8" s="20" t="s">
        <v>830</v>
      </c>
      <c r="AK8" s="20"/>
      <c r="AL8" s="20"/>
      <c r="AM8" s="20"/>
      <c r="AN8" s="20"/>
      <c r="AO8" s="20"/>
    </row>
    <row r="9" spans="1:41" x14ac:dyDescent="0.3">
      <c r="A9" s="12">
        <v>108</v>
      </c>
      <c r="B9" s="12" t="s">
        <v>53</v>
      </c>
      <c r="C9" s="12" t="s">
        <v>54</v>
      </c>
      <c r="D9" s="12" t="s">
        <v>18</v>
      </c>
      <c r="E9" s="12" t="s">
        <v>55</v>
      </c>
      <c r="F9" s="12">
        <v>814</v>
      </c>
      <c r="G9" s="12" t="s">
        <v>32</v>
      </c>
      <c r="H9" s="12">
        <v>48</v>
      </c>
      <c r="I9" s="12">
        <v>31</v>
      </c>
      <c r="J9" s="12">
        <v>17</v>
      </c>
      <c r="K9" s="14">
        <v>45329</v>
      </c>
      <c r="L9" s="14">
        <v>45401</v>
      </c>
      <c r="M9" s="12">
        <v>72</v>
      </c>
      <c r="N9" s="12">
        <v>620</v>
      </c>
      <c r="O9" s="12" t="s">
        <v>56</v>
      </c>
      <c r="P9" s="12" t="s">
        <v>28</v>
      </c>
    </row>
    <row r="10" spans="1:41" x14ac:dyDescent="0.3">
      <c r="A10" s="12">
        <v>109</v>
      </c>
      <c r="B10" s="12" t="s">
        <v>57</v>
      </c>
      <c r="C10" s="12" t="s">
        <v>58</v>
      </c>
      <c r="D10" s="12" t="s">
        <v>18</v>
      </c>
      <c r="E10" s="12" t="s">
        <v>59</v>
      </c>
      <c r="F10" s="12">
        <v>321</v>
      </c>
      <c r="G10" s="12" t="s">
        <v>38</v>
      </c>
      <c r="H10" s="12">
        <v>40</v>
      </c>
      <c r="I10" s="12">
        <v>38</v>
      </c>
      <c r="J10" s="12">
        <v>2</v>
      </c>
      <c r="K10" s="14">
        <v>45330</v>
      </c>
      <c r="L10" s="14">
        <v>45412</v>
      </c>
      <c r="M10" s="12">
        <v>82</v>
      </c>
      <c r="N10" s="12">
        <v>760</v>
      </c>
      <c r="O10" s="12" t="s">
        <v>60</v>
      </c>
      <c r="P10" s="12" t="s">
        <v>28</v>
      </c>
      <c r="U10" s="2">
        <f>COUNTIF(D2:D300,"Computer Science")</f>
        <v>27</v>
      </c>
      <c r="AC10" s="6">
        <f>SUM(N2:N300)</f>
        <v>65630</v>
      </c>
      <c r="AK10" s="10">
        <f>SUMIF(D2:D300,"Physics",J2:J300)</f>
        <v>64</v>
      </c>
    </row>
    <row r="11" spans="1:41" x14ac:dyDescent="0.3">
      <c r="A11" s="12">
        <v>110</v>
      </c>
      <c r="B11" s="12" t="s">
        <v>62</v>
      </c>
      <c r="C11" s="12" t="s">
        <v>63</v>
      </c>
      <c r="D11" s="12" t="s">
        <v>18</v>
      </c>
      <c r="E11" s="12" t="s">
        <v>64</v>
      </c>
      <c r="F11" s="12">
        <v>666</v>
      </c>
      <c r="G11" s="12" t="s">
        <v>65</v>
      </c>
      <c r="H11" s="12">
        <v>47</v>
      </c>
      <c r="I11" s="12">
        <v>30</v>
      </c>
      <c r="J11" s="12">
        <v>17</v>
      </c>
      <c r="K11" s="14">
        <v>45331</v>
      </c>
      <c r="L11" s="14">
        <v>45416</v>
      </c>
      <c r="M11" s="12">
        <v>85</v>
      </c>
      <c r="N11" s="12">
        <v>600</v>
      </c>
      <c r="O11" s="12" t="s">
        <v>66</v>
      </c>
      <c r="P11" s="12" t="s">
        <v>28</v>
      </c>
    </row>
    <row r="12" spans="1:41" x14ac:dyDescent="0.3">
      <c r="A12" s="12">
        <v>111</v>
      </c>
      <c r="B12" s="12" t="s">
        <v>67</v>
      </c>
      <c r="C12" s="12" t="s">
        <v>68</v>
      </c>
      <c r="D12" s="12" t="s">
        <v>18</v>
      </c>
      <c r="E12" s="12" t="s">
        <v>69</v>
      </c>
      <c r="F12" s="12">
        <v>414</v>
      </c>
      <c r="G12" s="12" t="s">
        <v>20</v>
      </c>
      <c r="H12" s="12">
        <v>44</v>
      </c>
      <c r="I12" s="12">
        <v>22</v>
      </c>
      <c r="J12" s="12">
        <v>22</v>
      </c>
      <c r="K12" s="14">
        <v>45332</v>
      </c>
      <c r="L12" s="14">
        <v>45429</v>
      </c>
      <c r="M12" s="12">
        <v>97</v>
      </c>
      <c r="N12" s="12">
        <v>440</v>
      </c>
      <c r="O12" s="12" t="s">
        <v>70</v>
      </c>
      <c r="P12" s="12" t="s">
        <v>28</v>
      </c>
    </row>
    <row r="13" spans="1:41" x14ac:dyDescent="0.3">
      <c r="A13" s="12">
        <v>112</v>
      </c>
      <c r="B13" s="12" t="s">
        <v>71</v>
      </c>
      <c r="C13" s="12" t="s">
        <v>72</v>
      </c>
      <c r="D13" s="12" t="s">
        <v>18</v>
      </c>
      <c r="E13" s="12" t="s">
        <v>73</v>
      </c>
      <c r="F13" s="12">
        <v>530</v>
      </c>
      <c r="G13" s="12" t="s">
        <v>38</v>
      </c>
      <c r="H13" s="12">
        <v>29</v>
      </c>
      <c r="I13" s="12">
        <v>10</v>
      </c>
      <c r="J13" s="12">
        <v>19</v>
      </c>
      <c r="K13" s="14">
        <v>45333</v>
      </c>
      <c r="L13" s="14">
        <v>45441</v>
      </c>
      <c r="M13" s="12">
        <v>108</v>
      </c>
      <c r="N13" s="12">
        <v>100</v>
      </c>
      <c r="O13" s="12" t="s">
        <v>74</v>
      </c>
      <c r="P13" s="12" t="s">
        <v>28</v>
      </c>
      <c r="S13" s="23" t="s">
        <v>823</v>
      </c>
      <c r="T13" s="23"/>
      <c r="U13" s="23"/>
      <c r="V13" s="23"/>
      <c r="W13" s="23"/>
      <c r="AB13" s="27" t="s">
        <v>827</v>
      </c>
      <c r="AC13" s="27"/>
      <c r="AD13" s="27"/>
      <c r="AE13" s="27"/>
      <c r="AF13" s="27"/>
    </row>
    <row r="14" spans="1:41" x14ac:dyDescent="0.3">
      <c r="A14" s="12">
        <v>113</v>
      </c>
      <c r="B14" s="12" t="s">
        <v>75</v>
      </c>
      <c r="C14" s="12" t="s">
        <v>76</v>
      </c>
      <c r="D14" s="12" t="s">
        <v>18</v>
      </c>
      <c r="E14" s="12" t="s">
        <v>77</v>
      </c>
      <c r="F14" s="12">
        <v>658</v>
      </c>
      <c r="G14" s="12" t="s">
        <v>32</v>
      </c>
      <c r="H14" s="12">
        <v>38</v>
      </c>
      <c r="I14" s="12">
        <v>24</v>
      </c>
      <c r="J14" s="12">
        <v>14</v>
      </c>
      <c r="K14" s="14">
        <v>45334</v>
      </c>
      <c r="L14" s="14">
        <v>45445</v>
      </c>
      <c r="M14" s="12">
        <v>111</v>
      </c>
      <c r="N14" s="12">
        <v>480</v>
      </c>
      <c r="O14" s="12" t="s">
        <v>78</v>
      </c>
      <c r="P14" s="12" t="s">
        <v>28</v>
      </c>
    </row>
    <row r="15" spans="1:41" x14ac:dyDescent="0.3">
      <c r="A15" s="12">
        <v>114</v>
      </c>
      <c r="B15" s="12" t="s">
        <v>79</v>
      </c>
      <c r="C15" s="12" t="s">
        <v>80</v>
      </c>
      <c r="D15" s="12" t="s">
        <v>18</v>
      </c>
      <c r="E15" s="12" t="s">
        <v>81</v>
      </c>
      <c r="F15" s="12">
        <v>287</v>
      </c>
      <c r="G15" s="12" t="s">
        <v>20</v>
      </c>
      <c r="H15" s="12">
        <v>30</v>
      </c>
      <c r="I15" s="12">
        <v>11</v>
      </c>
      <c r="J15" s="12">
        <v>19</v>
      </c>
      <c r="K15" s="14">
        <v>45335</v>
      </c>
      <c r="L15" s="14">
        <v>45457</v>
      </c>
      <c r="M15" s="12">
        <v>122</v>
      </c>
      <c r="N15" s="12">
        <v>110</v>
      </c>
      <c r="O15" s="12" t="s">
        <v>82</v>
      </c>
      <c r="P15" s="12" t="s">
        <v>28</v>
      </c>
      <c r="U15" s="3">
        <f>AVERAGE(F2:F300)</f>
        <v>607.1457286432161</v>
      </c>
      <c r="AC15" s="7">
        <f>AVERAGEIF(D2:D300,"Computer Science",N2:N300)</f>
        <v>444.44444444444446</v>
      </c>
    </row>
    <row r="16" spans="1:41" x14ac:dyDescent="0.3">
      <c r="A16" s="12">
        <v>115</v>
      </c>
      <c r="B16" s="12" t="s">
        <v>61</v>
      </c>
      <c r="C16" s="12" t="s">
        <v>84</v>
      </c>
      <c r="D16" s="12" t="s">
        <v>18</v>
      </c>
      <c r="E16" s="12" t="s">
        <v>85</v>
      </c>
      <c r="F16" s="12">
        <v>572</v>
      </c>
      <c r="G16" s="12" t="s">
        <v>32</v>
      </c>
      <c r="H16" s="12">
        <v>46</v>
      </c>
      <c r="I16" s="12">
        <v>35</v>
      </c>
      <c r="J16" s="12">
        <v>11</v>
      </c>
      <c r="K16" s="14">
        <v>45336</v>
      </c>
      <c r="L16" s="14">
        <v>45470</v>
      </c>
      <c r="M16" s="12">
        <v>134</v>
      </c>
      <c r="N16" s="12">
        <v>700</v>
      </c>
      <c r="O16" s="12" t="s">
        <v>86</v>
      </c>
      <c r="P16" s="12" t="s">
        <v>34</v>
      </c>
    </row>
    <row r="17" spans="1:32" x14ac:dyDescent="0.3">
      <c r="A17" s="12">
        <v>116</v>
      </c>
      <c r="B17" s="12" t="s">
        <v>87</v>
      </c>
      <c r="C17" s="12" t="s">
        <v>88</v>
      </c>
      <c r="D17" s="12" t="s">
        <v>18</v>
      </c>
      <c r="E17" s="12" t="s">
        <v>89</v>
      </c>
      <c r="F17" s="12">
        <v>299</v>
      </c>
      <c r="G17" s="12" t="s">
        <v>32</v>
      </c>
      <c r="H17" s="12">
        <v>35</v>
      </c>
      <c r="I17" s="12">
        <v>29</v>
      </c>
      <c r="J17" s="12">
        <v>6</v>
      </c>
      <c r="K17" s="14">
        <v>45337</v>
      </c>
      <c r="L17" s="14">
        <v>45478</v>
      </c>
      <c r="M17" s="12">
        <v>141</v>
      </c>
      <c r="N17" s="12">
        <v>580</v>
      </c>
      <c r="O17" s="12" t="s">
        <v>90</v>
      </c>
      <c r="P17" s="12" t="s">
        <v>28</v>
      </c>
    </row>
    <row r="18" spans="1:32" x14ac:dyDescent="0.3">
      <c r="A18" s="12">
        <v>117</v>
      </c>
      <c r="B18" s="12" t="s">
        <v>91</v>
      </c>
      <c r="C18" s="12" t="s">
        <v>92</v>
      </c>
      <c r="D18" s="12" t="s">
        <v>18</v>
      </c>
      <c r="E18" s="12" t="s">
        <v>93</v>
      </c>
      <c r="F18" s="12">
        <v>863</v>
      </c>
      <c r="G18" s="12" t="s">
        <v>65</v>
      </c>
      <c r="H18" s="12">
        <v>32</v>
      </c>
      <c r="I18" s="12">
        <v>27</v>
      </c>
      <c r="J18" s="12">
        <v>5</v>
      </c>
      <c r="K18" s="14">
        <v>45338</v>
      </c>
      <c r="L18" s="14">
        <v>45491</v>
      </c>
      <c r="M18" s="12">
        <v>153</v>
      </c>
      <c r="N18" s="12">
        <v>540</v>
      </c>
      <c r="O18" s="12" t="s">
        <v>94</v>
      </c>
      <c r="P18" s="12" t="s">
        <v>28</v>
      </c>
      <c r="S18" s="24" t="s">
        <v>824</v>
      </c>
      <c r="T18" s="24"/>
      <c r="U18" s="24"/>
      <c r="V18" s="24"/>
      <c r="W18" s="24"/>
      <c r="X18" s="24"/>
      <c r="AB18" s="28" t="s">
        <v>828</v>
      </c>
      <c r="AC18" s="28"/>
      <c r="AD18" s="28"/>
      <c r="AE18" s="28"/>
      <c r="AF18" s="28"/>
    </row>
    <row r="19" spans="1:32" x14ac:dyDescent="0.3">
      <c r="A19" s="12">
        <v>118</v>
      </c>
      <c r="B19" s="12" t="s">
        <v>95</v>
      </c>
      <c r="C19" s="12" t="s">
        <v>96</v>
      </c>
      <c r="D19" s="12" t="s">
        <v>18</v>
      </c>
      <c r="E19" s="12" t="s">
        <v>97</v>
      </c>
      <c r="F19" s="12">
        <v>330</v>
      </c>
      <c r="G19" s="12" t="s">
        <v>20</v>
      </c>
      <c r="H19" s="12">
        <v>43</v>
      </c>
      <c r="I19" s="12">
        <v>20</v>
      </c>
      <c r="J19" s="12">
        <v>23</v>
      </c>
      <c r="K19" s="14">
        <v>45339</v>
      </c>
      <c r="L19" s="14">
        <v>45504</v>
      </c>
      <c r="M19" s="12">
        <v>165</v>
      </c>
      <c r="N19" s="12">
        <v>400</v>
      </c>
      <c r="O19" s="12" t="s">
        <v>98</v>
      </c>
      <c r="P19" s="12" t="s">
        <v>22</v>
      </c>
    </row>
    <row r="20" spans="1:32" x14ac:dyDescent="0.3">
      <c r="A20" s="12">
        <v>119</v>
      </c>
      <c r="B20" s="12" t="s">
        <v>99</v>
      </c>
      <c r="C20" s="12" t="s">
        <v>100</v>
      </c>
      <c r="D20" s="12" t="s">
        <v>18</v>
      </c>
      <c r="E20" s="12" t="s">
        <v>101</v>
      </c>
      <c r="F20" s="12">
        <v>861</v>
      </c>
      <c r="G20" s="12" t="s">
        <v>20</v>
      </c>
      <c r="H20" s="12">
        <v>41</v>
      </c>
      <c r="I20" s="12">
        <v>19</v>
      </c>
      <c r="J20" s="12">
        <v>22</v>
      </c>
      <c r="K20" s="14">
        <v>45340</v>
      </c>
      <c r="L20" s="14">
        <v>45507</v>
      </c>
      <c r="M20" s="12">
        <v>167</v>
      </c>
      <c r="N20" s="12">
        <v>380</v>
      </c>
      <c r="O20" s="12" t="s">
        <v>102</v>
      </c>
      <c r="P20" s="12" t="s">
        <v>28</v>
      </c>
      <c r="U20" s="4">
        <f>MAX(F2:F300)</f>
        <v>997</v>
      </c>
      <c r="AC20" s="8">
        <f>COUNTIFS(K2:K300,"&gt;=01-02-2024",K2:K300,"&lt;=29-02-2024")</f>
        <v>44</v>
      </c>
    </row>
    <row r="21" spans="1:32" x14ac:dyDescent="0.3">
      <c r="A21" s="12">
        <v>120</v>
      </c>
      <c r="B21" s="12" t="s">
        <v>103</v>
      </c>
      <c r="C21" s="12" t="s">
        <v>104</v>
      </c>
      <c r="D21" s="12" t="s">
        <v>18</v>
      </c>
      <c r="E21" s="12" t="s">
        <v>105</v>
      </c>
      <c r="F21" s="12">
        <v>508</v>
      </c>
      <c r="G21" s="12" t="s">
        <v>65</v>
      </c>
      <c r="H21" s="12">
        <v>39</v>
      </c>
      <c r="I21" s="12">
        <v>21</v>
      </c>
      <c r="J21" s="12">
        <v>18</v>
      </c>
      <c r="K21" s="14">
        <v>45341</v>
      </c>
      <c r="L21" s="14">
        <v>45520</v>
      </c>
      <c r="M21" s="12">
        <v>179</v>
      </c>
      <c r="N21" s="12">
        <v>420</v>
      </c>
      <c r="O21" s="12" t="s">
        <v>106</v>
      </c>
      <c r="P21" s="12" t="s">
        <v>107</v>
      </c>
    </row>
    <row r="22" spans="1:32" x14ac:dyDescent="0.3">
      <c r="A22" s="12">
        <v>121</v>
      </c>
      <c r="B22" s="12" t="s">
        <v>108</v>
      </c>
      <c r="C22" s="12" t="s">
        <v>109</v>
      </c>
      <c r="D22" s="12" t="s">
        <v>18</v>
      </c>
      <c r="E22" s="12" t="s">
        <v>110</v>
      </c>
      <c r="F22" s="12">
        <v>969</v>
      </c>
      <c r="G22" s="12" t="s">
        <v>38</v>
      </c>
      <c r="H22" s="12">
        <v>27</v>
      </c>
      <c r="I22" s="12">
        <v>12</v>
      </c>
      <c r="J22" s="12">
        <v>15</v>
      </c>
      <c r="K22" s="14">
        <v>45342</v>
      </c>
      <c r="L22" s="14">
        <v>45532</v>
      </c>
      <c r="M22" s="12">
        <v>190</v>
      </c>
      <c r="N22" s="12">
        <v>240</v>
      </c>
      <c r="O22" s="12" t="s">
        <v>111</v>
      </c>
      <c r="P22" s="12" t="s">
        <v>28</v>
      </c>
    </row>
    <row r="23" spans="1:32" x14ac:dyDescent="0.3">
      <c r="A23" s="12">
        <v>122</v>
      </c>
      <c r="B23" s="12" t="s">
        <v>112</v>
      </c>
      <c r="C23" s="12" t="s">
        <v>113</v>
      </c>
      <c r="D23" s="12" t="s">
        <v>18</v>
      </c>
      <c r="E23" s="12" t="s">
        <v>114</v>
      </c>
      <c r="F23" s="12">
        <v>543</v>
      </c>
      <c r="G23" s="12" t="s">
        <v>32</v>
      </c>
      <c r="H23" s="12">
        <v>36</v>
      </c>
      <c r="I23" s="12">
        <v>26</v>
      </c>
      <c r="J23" s="12">
        <v>10</v>
      </c>
      <c r="K23" s="14">
        <v>45343</v>
      </c>
      <c r="L23" s="14">
        <v>45541</v>
      </c>
      <c r="M23" s="12">
        <v>198</v>
      </c>
      <c r="N23" s="12">
        <v>520</v>
      </c>
      <c r="O23" s="12" t="s">
        <v>115</v>
      </c>
      <c r="P23" s="12" t="s">
        <v>34</v>
      </c>
    </row>
    <row r="24" spans="1:32" x14ac:dyDescent="0.3">
      <c r="A24" s="12">
        <v>123</v>
      </c>
      <c r="B24" s="12" t="s">
        <v>116</v>
      </c>
      <c r="C24" s="12" t="s">
        <v>117</v>
      </c>
      <c r="D24" s="12" t="s">
        <v>18</v>
      </c>
      <c r="E24" s="12" t="s">
        <v>118</v>
      </c>
      <c r="F24" s="12">
        <v>691</v>
      </c>
      <c r="G24" s="12" t="s">
        <v>26</v>
      </c>
      <c r="H24" s="12">
        <v>34</v>
      </c>
      <c r="I24" s="12">
        <v>18</v>
      </c>
      <c r="J24" s="12">
        <v>16</v>
      </c>
      <c r="K24" s="14">
        <v>45344</v>
      </c>
      <c r="L24" s="14">
        <v>45554</v>
      </c>
      <c r="M24" s="12">
        <v>210</v>
      </c>
      <c r="N24" s="12">
        <v>360</v>
      </c>
      <c r="O24" s="12" t="s">
        <v>119</v>
      </c>
      <c r="P24" s="12" t="s">
        <v>22</v>
      </c>
    </row>
    <row r="25" spans="1:32" x14ac:dyDescent="0.3">
      <c r="A25" s="12">
        <v>124</v>
      </c>
      <c r="B25" s="12" t="s">
        <v>120</v>
      </c>
      <c r="C25" s="12" t="s">
        <v>121</v>
      </c>
      <c r="D25" s="12" t="s">
        <v>18</v>
      </c>
      <c r="E25" s="12" t="s">
        <v>122</v>
      </c>
      <c r="F25" s="12">
        <v>613</v>
      </c>
      <c r="G25" s="12" t="s">
        <v>32</v>
      </c>
      <c r="H25" s="12">
        <v>25</v>
      </c>
      <c r="I25" s="12">
        <v>9</v>
      </c>
      <c r="J25" s="12">
        <v>16</v>
      </c>
      <c r="K25" s="14">
        <v>45345</v>
      </c>
      <c r="L25" s="14">
        <v>45565</v>
      </c>
      <c r="M25" s="12">
        <v>220</v>
      </c>
      <c r="N25" s="12">
        <v>900</v>
      </c>
      <c r="O25" s="12" t="s">
        <v>123</v>
      </c>
      <c r="P25" s="12" t="s">
        <v>28</v>
      </c>
    </row>
    <row r="26" spans="1:32" x14ac:dyDescent="0.3">
      <c r="A26" s="12">
        <v>125</v>
      </c>
      <c r="B26" s="12" t="s">
        <v>124</v>
      </c>
      <c r="C26" s="12" t="s">
        <v>125</v>
      </c>
      <c r="D26" s="12" t="s">
        <v>18</v>
      </c>
      <c r="E26" s="12" t="s">
        <v>126</v>
      </c>
      <c r="F26" s="12">
        <v>585</v>
      </c>
      <c r="G26" s="12" t="s">
        <v>32</v>
      </c>
      <c r="H26" s="12">
        <v>26</v>
      </c>
      <c r="I26" s="12">
        <v>13</v>
      </c>
      <c r="J26" s="12">
        <v>13</v>
      </c>
      <c r="K26" s="14">
        <v>45346</v>
      </c>
      <c r="L26" s="14">
        <v>45569</v>
      </c>
      <c r="M26" s="12">
        <v>223</v>
      </c>
      <c r="N26" s="12">
        <v>130</v>
      </c>
      <c r="O26" s="12" t="s">
        <v>127</v>
      </c>
      <c r="P26" s="12" t="s">
        <v>28</v>
      </c>
    </row>
    <row r="27" spans="1:32" x14ac:dyDescent="0.3">
      <c r="A27" s="12">
        <v>126</v>
      </c>
      <c r="B27" s="12" t="s">
        <v>128</v>
      </c>
      <c r="C27" s="12" t="s">
        <v>129</v>
      </c>
      <c r="D27" s="12" t="s">
        <v>18</v>
      </c>
      <c r="E27" s="12" t="s">
        <v>130</v>
      </c>
      <c r="F27" s="12">
        <v>391</v>
      </c>
      <c r="G27" s="12" t="s">
        <v>38</v>
      </c>
      <c r="H27" s="12">
        <v>22</v>
      </c>
      <c r="I27" s="12">
        <v>7</v>
      </c>
      <c r="J27" s="12">
        <v>15</v>
      </c>
      <c r="K27" s="14">
        <v>45347</v>
      </c>
      <c r="L27" s="14">
        <v>45582</v>
      </c>
      <c r="M27" s="12">
        <v>235</v>
      </c>
      <c r="N27" s="12">
        <v>140</v>
      </c>
      <c r="O27" s="12" t="s">
        <v>131</v>
      </c>
      <c r="P27" s="12" t="s">
        <v>34</v>
      </c>
    </row>
    <row r="28" spans="1:32" x14ac:dyDescent="0.3">
      <c r="A28" s="12">
        <v>127</v>
      </c>
      <c r="B28" s="12" t="s">
        <v>132</v>
      </c>
      <c r="C28" s="12" t="s">
        <v>133</v>
      </c>
      <c r="D28" s="12" t="s">
        <v>18</v>
      </c>
      <c r="E28" s="12" t="s">
        <v>134</v>
      </c>
      <c r="F28" s="12">
        <v>476</v>
      </c>
      <c r="G28" s="12" t="s">
        <v>32</v>
      </c>
      <c r="H28" s="12">
        <v>24</v>
      </c>
      <c r="I28" s="12">
        <v>15</v>
      </c>
      <c r="J28" s="12">
        <v>9</v>
      </c>
      <c r="K28" s="14">
        <v>45348</v>
      </c>
      <c r="L28" s="14">
        <v>45594</v>
      </c>
      <c r="M28" s="12">
        <v>246</v>
      </c>
      <c r="N28" s="12">
        <v>240</v>
      </c>
      <c r="O28" s="12" t="s">
        <v>135</v>
      </c>
      <c r="P28" s="12" t="s">
        <v>28</v>
      </c>
    </row>
    <row r="29" spans="1:32" x14ac:dyDescent="0.3">
      <c r="A29" s="12">
        <v>128</v>
      </c>
      <c r="B29" s="12" t="s">
        <v>136</v>
      </c>
      <c r="C29" s="12" t="s">
        <v>137</v>
      </c>
      <c r="D29" s="12" t="s">
        <v>138</v>
      </c>
      <c r="E29" s="12" t="s">
        <v>139</v>
      </c>
      <c r="F29" s="12">
        <v>360</v>
      </c>
      <c r="G29" s="12" t="s">
        <v>65</v>
      </c>
      <c r="H29" s="12">
        <v>23</v>
      </c>
      <c r="I29" s="12">
        <v>14</v>
      </c>
      <c r="J29" s="12">
        <v>9</v>
      </c>
      <c r="K29" s="14">
        <v>45349</v>
      </c>
      <c r="L29" s="14">
        <v>45598</v>
      </c>
      <c r="M29" s="12">
        <v>249</v>
      </c>
      <c r="N29" s="12">
        <v>280</v>
      </c>
      <c r="O29" s="12" t="s">
        <v>140</v>
      </c>
      <c r="P29" s="12" t="s">
        <v>28</v>
      </c>
    </row>
    <row r="30" spans="1:32" x14ac:dyDescent="0.3">
      <c r="A30" s="12">
        <v>129</v>
      </c>
      <c r="B30" s="12" t="s">
        <v>141</v>
      </c>
      <c r="C30" s="12" t="s">
        <v>142</v>
      </c>
      <c r="D30" s="12" t="s">
        <v>138</v>
      </c>
      <c r="E30" s="12" t="s">
        <v>143</v>
      </c>
      <c r="F30" s="12">
        <v>659</v>
      </c>
      <c r="G30" s="12" t="s">
        <v>65</v>
      </c>
      <c r="H30" s="12">
        <v>21</v>
      </c>
      <c r="I30" s="12">
        <v>16</v>
      </c>
      <c r="J30" s="12">
        <v>5</v>
      </c>
      <c r="K30" s="14">
        <v>45350</v>
      </c>
      <c r="L30" s="14">
        <v>45611</v>
      </c>
      <c r="M30" s="12">
        <v>261</v>
      </c>
      <c r="N30" s="12">
        <v>320</v>
      </c>
      <c r="O30" s="12" t="s">
        <v>144</v>
      </c>
      <c r="P30" s="12" t="s">
        <v>28</v>
      </c>
    </row>
    <row r="31" spans="1:32" x14ac:dyDescent="0.3">
      <c r="A31" s="12">
        <v>130</v>
      </c>
      <c r="B31" s="12" t="s">
        <v>145</v>
      </c>
      <c r="C31" s="12" t="s">
        <v>146</v>
      </c>
      <c r="D31" s="12" t="s">
        <v>138</v>
      </c>
      <c r="E31" s="12" t="s">
        <v>147</v>
      </c>
      <c r="F31" s="12">
        <v>513</v>
      </c>
      <c r="G31" s="12" t="s">
        <v>20</v>
      </c>
      <c r="H31" s="12">
        <v>20</v>
      </c>
      <c r="I31" s="12">
        <v>11</v>
      </c>
      <c r="J31" s="12">
        <v>9</v>
      </c>
      <c r="K31" s="14">
        <v>45351</v>
      </c>
      <c r="L31" s="14">
        <v>45624</v>
      </c>
      <c r="M31" s="12">
        <v>273</v>
      </c>
      <c r="N31" s="12">
        <v>200</v>
      </c>
      <c r="O31" s="12" t="s">
        <v>148</v>
      </c>
      <c r="P31" s="12" t="s">
        <v>22</v>
      </c>
    </row>
    <row r="32" spans="1:32" x14ac:dyDescent="0.3">
      <c r="A32" s="12">
        <v>131</v>
      </c>
      <c r="B32" s="12" t="s">
        <v>149</v>
      </c>
      <c r="C32" s="12" t="s">
        <v>150</v>
      </c>
      <c r="D32" s="12" t="s">
        <v>138</v>
      </c>
      <c r="E32" s="12" t="s">
        <v>151</v>
      </c>
      <c r="F32" s="12">
        <v>221</v>
      </c>
      <c r="G32" s="12" t="s">
        <v>26</v>
      </c>
      <c r="H32" s="12">
        <v>19</v>
      </c>
      <c r="I32" s="12">
        <v>10</v>
      </c>
      <c r="J32" s="12">
        <v>9</v>
      </c>
      <c r="K32" s="14">
        <v>45352</v>
      </c>
      <c r="L32" s="14">
        <v>45631</v>
      </c>
      <c r="M32" s="12">
        <v>279</v>
      </c>
      <c r="N32" s="12">
        <v>100</v>
      </c>
      <c r="O32" s="12" t="s">
        <v>152</v>
      </c>
      <c r="P32" s="12" t="s">
        <v>34</v>
      </c>
    </row>
    <row r="33" spans="1:16" x14ac:dyDescent="0.3">
      <c r="A33" s="12">
        <v>132</v>
      </c>
      <c r="B33" s="12" t="s">
        <v>153</v>
      </c>
      <c r="C33" s="12" t="s">
        <v>154</v>
      </c>
      <c r="D33" s="12" t="s">
        <v>138</v>
      </c>
      <c r="E33" s="12" t="s">
        <v>155</v>
      </c>
      <c r="F33" s="12">
        <v>452</v>
      </c>
      <c r="G33" s="12" t="s">
        <v>32</v>
      </c>
      <c r="H33" s="12">
        <v>18</v>
      </c>
      <c r="I33" s="12">
        <v>6</v>
      </c>
      <c r="J33" s="12">
        <v>12</v>
      </c>
      <c r="K33" s="14">
        <v>45353</v>
      </c>
      <c r="L33" s="14">
        <v>45644</v>
      </c>
      <c r="M33" s="12">
        <v>291</v>
      </c>
      <c r="N33" s="12">
        <v>600</v>
      </c>
      <c r="O33" s="12" t="s">
        <v>156</v>
      </c>
      <c r="P33" s="12" t="s">
        <v>28</v>
      </c>
    </row>
    <row r="34" spans="1:16" x14ac:dyDescent="0.3">
      <c r="A34" s="12">
        <v>133</v>
      </c>
      <c r="B34" s="12" t="s">
        <v>157</v>
      </c>
      <c r="C34" s="12" t="s">
        <v>158</v>
      </c>
      <c r="D34" s="12" t="s">
        <v>138</v>
      </c>
      <c r="E34" s="12" t="s">
        <v>159</v>
      </c>
      <c r="F34" s="12">
        <v>947</v>
      </c>
      <c r="G34" s="12" t="s">
        <v>32</v>
      </c>
      <c r="H34" s="12">
        <v>17</v>
      </c>
      <c r="I34" s="12">
        <v>8</v>
      </c>
      <c r="J34" s="12">
        <v>9</v>
      </c>
      <c r="K34" s="14">
        <v>45354</v>
      </c>
      <c r="L34" s="14">
        <v>45656</v>
      </c>
      <c r="M34" s="12">
        <v>302</v>
      </c>
      <c r="N34" s="12">
        <v>480</v>
      </c>
      <c r="O34" s="12" t="s">
        <v>160</v>
      </c>
      <c r="P34" s="12" t="s">
        <v>28</v>
      </c>
    </row>
    <row r="35" spans="1:16" x14ac:dyDescent="0.3">
      <c r="A35" s="12">
        <v>134</v>
      </c>
      <c r="B35" s="12" t="s">
        <v>161</v>
      </c>
      <c r="C35" s="12" t="s">
        <v>162</v>
      </c>
      <c r="D35" s="12" t="s">
        <v>138</v>
      </c>
      <c r="E35" s="12" t="s">
        <v>163</v>
      </c>
      <c r="F35" s="12">
        <v>760</v>
      </c>
      <c r="G35" s="12" t="s">
        <v>38</v>
      </c>
      <c r="H35" s="12">
        <v>16</v>
      </c>
      <c r="I35" s="12">
        <v>4</v>
      </c>
      <c r="J35" s="12">
        <v>12</v>
      </c>
      <c r="K35" s="14">
        <v>45355</v>
      </c>
      <c r="L35" s="14">
        <v>45661</v>
      </c>
      <c r="M35" s="12">
        <v>306</v>
      </c>
      <c r="N35" s="12">
        <v>320</v>
      </c>
      <c r="O35" s="12" t="s">
        <v>164</v>
      </c>
      <c r="P35" s="12" t="s">
        <v>34</v>
      </c>
    </row>
    <row r="36" spans="1:16" x14ac:dyDescent="0.3">
      <c r="A36" s="12">
        <v>135</v>
      </c>
      <c r="B36" s="12" t="s">
        <v>165</v>
      </c>
      <c r="C36" s="12" t="s">
        <v>166</v>
      </c>
      <c r="D36" s="12" t="s">
        <v>138</v>
      </c>
      <c r="E36" s="12" t="s">
        <v>167</v>
      </c>
      <c r="F36" s="12">
        <v>674</v>
      </c>
      <c r="G36" s="12" t="s">
        <v>65</v>
      </c>
      <c r="H36" s="12">
        <v>15</v>
      </c>
      <c r="I36" s="12">
        <v>9</v>
      </c>
      <c r="J36" s="12">
        <v>6</v>
      </c>
      <c r="K36" s="14">
        <v>45356</v>
      </c>
      <c r="L36" s="14">
        <v>45673</v>
      </c>
      <c r="M36" s="12">
        <v>317</v>
      </c>
      <c r="N36" s="12">
        <v>340</v>
      </c>
      <c r="O36" s="12" t="s">
        <v>168</v>
      </c>
      <c r="P36" s="12" t="s">
        <v>28</v>
      </c>
    </row>
    <row r="37" spans="1:16" x14ac:dyDescent="0.3">
      <c r="A37" s="12">
        <v>136</v>
      </c>
      <c r="B37" s="12" t="s">
        <v>169</v>
      </c>
      <c r="C37" s="12" t="s">
        <v>170</v>
      </c>
      <c r="D37" s="12" t="s">
        <v>138</v>
      </c>
      <c r="E37" s="12" t="s">
        <v>171</v>
      </c>
      <c r="F37" s="12">
        <v>258</v>
      </c>
      <c r="G37" s="12" t="s">
        <v>26</v>
      </c>
      <c r="H37" s="12">
        <v>14</v>
      </c>
      <c r="I37" s="12">
        <v>5</v>
      </c>
      <c r="J37" s="12">
        <v>9</v>
      </c>
      <c r="K37" s="14">
        <v>45357</v>
      </c>
      <c r="L37" s="14">
        <v>45686</v>
      </c>
      <c r="M37" s="12">
        <v>329</v>
      </c>
      <c r="N37" s="12">
        <v>360</v>
      </c>
      <c r="O37" s="12" t="s">
        <v>172</v>
      </c>
      <c r="P37" s="12" t="s">
        <v>28</v>
      </c>
    </row>
    <row r="38" spans="1:16" x14ac:dyDescent="0.3">
      <c r="A38" s="12">
        <v>137</v>
      </c>
      <c r="B38" s="12" t="s">
        <v>173</v>
      </c>
      <c r="C38" s="12" t="s">
        <v>174</v>
      </c>
      <c r="D38" s="12" t="s">
        <v>138</v>
      </c>
      <c r="E38" s="12" t="s">
        <v>175</v>
      </c>
      <c r="F38" s="12">
        <v>710</v>
      </c>
      <c r="G38" s="12" t="s">
        <v>20</v>
      </c>
      <c r="H38" s="12">
        <v>13</v>
      </c>
      <c r="I38" s="12">
        <v>7</v>
      </c>
      <c r="J38" s="12">
        <v>6</v>
      </c>
      <c r="K38" s="14">
        <v>45358</v>
      </c>
      <c r="L38" s="14">
        <v>45694</v>
      </c>
      <c r="M38" s="12">
        <v>336</v>
      </c>
      <c r="N38" s="12">
        <v>400</v>
      </c>
      <c r="O38" s="12" t="s">
        <v>176</v>
      </c>
      <c r="P38" s="12" t="s">
        <v>28</v>
      </c>
    </row>
    <row r="39" spans="1:16" x14ac:dyDescent="0.3">
      <c r="A39" s="12">
        <v>138</v>
      </c>
      <c r="B39" s="12" t="s">
        <v>177</v>
      </c>
      <c r="C39" s="12" t="s">
        <v>178</v>
      </c>
      <c r="D39" s="12" t="s">
        <v>138</v>
      </c>
      <c r="E39" s="12" t="s">
        <v>179</v>
      </c>
      <c r="F39" s="12">
        <v>881</v>
      </c>
      <c r="G39" s="12" t="s">
        <v>65</v>
      </c>
      <c r="H39" s="12">
        <v>12</v>
      </c>
      <c r="I39" s="12">
        <v>3</v>
      </c>
      <c r="J39" s="12">
        <v>9</v>
      </c>
      <c r="K39" s="14">
        <v>45359</v>
      </c>
      <c r="L39" s="14">
        <v>45706</v>
      </c>
      <c r="M39" s="12">
        <v>347</v>
      </c>
      <c r="N39" s="12">
        <v>420</v>
      </c>
      <c r="O39" s="12" t="s">
        <v>180</v>
      </c>
      <c r="P39" s="12" t="s">
        <v>34</v>
      </c>
    </row>
    <row r="40" spans="1:16" x14ac:dyDescent="0.3">
      <c r="A40" s="12">
        <v>139</v>
      </c>
      <c r="B40" s="12" t="s">
        <v>181</v>
      </c>
      <c r="C40" s="12" t="s">
        <v>182</v>
      </c>
      <c r="D40" s="12" t="s">
        <v>183</v>
      </c>
      <c r="E40" s="12" t="s">
        <v>184</v>
      </c>
      <c r="F40" s="12">
        <v>675</v>
      </c>
      <c r="G40" s="12" t="s">
        <v>20</v>
      </c>
      <c r="H40" s="12">
        <v>11</v>
      </c>
      <c r="I40" s="12">
        <v>6</v>
      </c>
      <c r="J40" s="12">
        <v>5</v>
      </c>
      <c r="K40" s="14">
        <v>45360</v>
      </c>
      <c r="L40" s="14">
        <v>45715</v>
      </c>
      <c r="M40" s="12">
        <v>355</v>
      </c>
      <c r="N40" s="12">
        <v>440</v>
      </c>
      <c r="O40" s="12" t="s">
        <v>185</v>
      </c>
      <c r="P40" s="12" t="s">
        <v>28</v>
      </c>
    </row>
    <row r="41" spans="1:16" x14ac:dyDescent="0.3">
      <c r="A41" s="12">
        <v>140</v>
      </c>
      <c r="B41" s="12" t="s">
        <v>186</v>
      </c>
      <c r="C41" s="12" t="s">
        <v>187</v>
      </c>
      <c r="D41" s="12" t="s">
        <v>183</v>
      </c>
      <c r="E41" s="12" t="s">
        <v>188</v>
      </c>
      <c r="F41" s="12">
        <v>899</v>
      </c>
      <c r="G41" s="12" t="s">
        <v>38</v>
      </c>
      <c r="H41" s="12">
        <v>10</v>
      </c>
      <c r="I41" s="12">
        <v>4</v>
      </c>
      <c r="J41" s="12">
        <v>6</v>
      </c>
      <c r="K41" s="14">
        <v>45361</v>
      </c>
      <c r="L41" s="14">
        <v>45721</v>
      </c>
      <c r="M41" s="12">
        <v>360</v>
      </c>
      <c r="N41" s="12">
        <v>460</v>
      </c>
      <c r="O41" s="12" t="s">
        <v>189</v>
      </c>
      <c r="P41" s="12" t="s">
        <v>34</v>
      </c>
    </row>
    <row r="42" spans="1:16" x14ac:dyDescent="0.3">
      <c r="A42" s="12">
        <v>141</v>
      </c>
      <c r="B42" s="12" t="s">
        <v>190</v>
      </c>
      <c r="C42" s="12" t="s">
        <v>191</v>
      </c>
      <c r="D42" s="12" t="s">
        <v>183</v>
      </c>
      <c r="E42" s="12" t="s">
        <v>192</v>
      </c>
      <c r="F42" s="12">
        <v>982</v>
      </c>
      <c r="G42" s="12" t="s">
        <v>38</v>
      </c>
      <c r="H42" s="12">
        <v>9</v>
      </c>
      <c r="I42" s="12">
        <v>3</v>
      </c>
      <c r="J42" s="12">
        <v>6</v>
      </c>
      <c r="K42" s="14">
        <v>45362</v>
      </c>
      <c r="L42" s="14">
        <v>45733</v>
      </c>
      <c r="M42" s="12">
        <v>371</v>
      </c>
      <c r="N42" s="12">
        <v>480</v>
      </c>
      <c r="O42" s="12" t="s">
        <v>193</v>
      </c>
      <c r="P42" s="12" t="s">
        <v>22</v>
      </c>
    </row>
    <row r="43" spans="1:16" x14ac:dyDescent="0.3">
      <c r="A43" s="12">
        <v>142</v>
      </c>
      <c r="B43" s="12" t="s">
        <v>194</v>
      </c>
      <c r="C43" s="12" t="s">
        <v>195</v>
      </c>
      <c r="D43" s="12" t="s">
        <v>183</v>
      </c>
      <c r="E43" s="12" t="s">
        <v>196</v>
      </c>
      <c r="F43" s="12">
        <v>389</v>
      </c>
      <c r="G43" s="12" t="s">
        <v>32</v>
      </c>
      <c r="H43" s="12">
        <v>8</v>
      </c>
      <c r="I43" s="12">
        <v>2</v>
      </c>
      <c r="J43" s="12">
        <v>6</v>
      </c>
      <c r="K43" s="14">
        <v>45363</v>
      </c>
      <c r="L43" s="14">
        <v>45744</v>
      </c>
      <c r="M43" s="12">
        <v>381</v>
      </c>
      <c r="N43" s="12">
        <v>300</v>
      </c>
      <c r="O43" s="12" t="s">
        <v>197</v>
      </c>
      <c r="P43" s="12" t="s">
        <v>34</v>
      </c>
    </row>
    <row r="44" spans="1:16" x14ac:dyDescent="0.3">
      <c r="A44" s="12">
        <v>143</v>
      </c>
      <c r="B44" s="12" t="s">
        <v>198</v>
      </c>
      <c r="C44" s="12" t="s">
        <v>199</v>
      </c>
      <c r="D44" s="12" t="s">
        <v>183</v>
      </c>
      <c r="E44" s="12" t="s">
        <v>200</v>
      </c>
      <c r="F44" s="12">
        <v>886</v>
      </c>
      <c r="G44" s="12" t="s">
        <v>26</v>
      </c>
      <c r="H44" s="12">
        <v>7</v>
      </c>
      <c r="I44" s="12">
        <v>1</v>
      </c>
      <c r="J44" s="12">
        <v>6</v>
      </c>
      <c r="K44" s="14">
        <v>45364</v>
      </c>
      <c r="L44" s="14">
        <v>45751</v>
      </c>
      <c r="M44" s="12">
        <v>387</v>
      </c>
      <c r="N44" s="12">
        <v>200</v>
      </c>
      <c r="O44" s="12" t="s">
        <v>201</v>
      </c>
      <c r="P44" s="12" t="s">
        <v>28</v>
      </c>
    </row>
    <row r="45" spans="1:16" x14ac:dyDescent="0.3">
      <c r="A45" s="12">
        <v>144</v>
      </c>
      <c r="B45" s="12" t="s">
        <v>202</v>
      </c>
      <c r="C45" s="12" t="s">
        <v>203</v>
      </c>
      <c r="D45" s="12" t="s">
        <v>183</v>
      </c>
      <c r="E45" s="12" t="s">
        <v>204</v>
      </c>
      <c r="F45" s="12">
        <v>762</v>
      </c>
      <c r="G45" s="12" t="s">
        <v>20</v>
      </c>
      <c r="H45" s="12">
        <v>6</v>
      </c>
      <c r="I45" s="12">
        <v>2</v>
      </c>
      <c r="J45" s="12">
        <v>4</v>
      </c>
      <c r="K45" s="14">
        <v>45365</v>
      </c>
      <c r="L45" s="14">
        <v>45763</v>
      </c>
      <c r="M45" s="12">
        <v>398</v>
      </c>
      <c r="N45" s="12">
        <v>180</v>
      </c>
      <c r="O45" s="12" t="s">
        <v>205</v>
      </c>
      <c r="P45" s="12" t="s">
        <v>107</v>
      </c>
    </row>
    <row r="46" spans="1:16" x14ac:dyDescent="0.3">
      <c r="A46" s="12">
        <v>145</v>
      </c>
      <c r="B46" s="12" t="s">
        <v>206</v>
      </c>
      <c r="C46" s="12" t="s">
        <v>207</v>
      </c>
      <c r="D46" s="12" t="s">
        <v>183</v>
      </c>
      <c r="E46" s="12" t="s">
        <v>208</v>
      </c>
      <c r="F46" s="12">
        <v>766</v>
      </c>
      <c r="G46" s="12" t="s">
        <v>65</v>
      </c>
      <c r="H46" s="12">
        <v>5</v>
      </c>
      <c r="I46" s="12">
        <v>1</v>
      </c>
      <c r="J46" s="12">
        <v>4</v>
      </c>
      <c r="K46" s="14">
        <v>45366</v>
      </c>
      <c r="L46" s="14">
        <v>45776</v>
      </c>
      <c r="M46" s="12">
        <v>410</v>
      </c>
      <c r="N46" s="12">
        <v>360</v>
      </c>
      <c r="O46" s="12" t="s">
        <v>209</v>
      </c>
      <c r="P46" s="12" t="s">
        <v>28</v>
      </c>
    </row>
    <row r="47" spans="1:16" x14ac:dyDescent="0.3">
      <c r="A47" s="12">
        <v>146</v>
      </c>
      <c r="B47" s="12" t="s">
        <v>210</v>
      </c>
      <c r="C47" s="12" t="s">
        <v>211</v>
      </c>
      <c r="D47" s="12" t="s">
        <v>183</v>
      </c>
      <c r="E47" s="12" t="s">
        <v>212</v>
      </c>
      <c r="F47" s="12">
        <v>443</v>
      </c>
      <c r="G47" s="12" t="s">
        <v>38</v>
      </c>
      <c r="H47" s="12">
        <v>4</v>
      </c>
      <c r="I47" s="12">
        <v>1</v>
      </c>
      <c r="J47" s="12">
        <v>3</v>
      </c>
      <c r="K47" s="14">
        <v>45367</v>
      </c>
      <c r="L47" s="14">
        <v>45782</v>
      </c>
      <c r="M47" s="12">
        <v>415</v>
      </c>
      <c r="N47" s="12">
        <v>240</v>
      </c>
      <c r="O47" s="12" t="s">
        <v>213</v>
      </c>
      <c r="P47" s="12" t="s">
        <v>22</v>
      </c>
    </row>
    <row r="48" spans="1:16" x14ac:dyDescent="0.3">
      <c r="A48" s="12">
        <v>147</v>
      </c>
      <c r="B48" s="12" t="s">
        <v>214</v>
      </c>
      <c r="C48" s="12" t="s">
        <v>215</v>
      </c>
      <c r="D48" s="12" t="s">
        <v>183</v>
      </c>
      <c r="E48" s="12" t="s">
        <v>216</v>
      </c>
      <c r="F48" s="12">
        <v>704</v>
      </c>
      <c r="G48" s="12" t="s">
        <v>32</v>
      </c>
      <c r="H48" s="12">
        <v>3</v>
      </c>
      <c r="I48" s="12">
        <v>1</v>
      </c>
      <c r="J48" s="12">
        <v>2</v>
      </c>
      <c r="K48" s="14">
        <v>45368</v>
      </c>
      <c r="L48" s="14">
        <v>45795</v>
      </c>
      <c r="M48" s="12">
        <v>427</v>
      </c>
      <c r="N48" s="12">
        <v>400</v>
      </c>
      <c r="O48" s="12" t="s">
        <v>217</v>
      </c>
      <c r="P48" s="12" t="s">
        <v>34</v>
      </c>
    </row>
    <row r="49" spans="1:16" x14ac:dyDescent="0.3">
      <c r="A49" s="12">
        <v>148</v>
      </c>
      <c r="B49" s="12" t="s">
        <v>218</v>
      </c>
      <c r="C49" s="12" t="s">
        <v>219</v>
      </c>
      <c r="D49" s="12" t="s">
        <v>183</v>
      </c>
      <c r="E49" s="12" t="s">
        <v>220</v>
      </c>
      <c r="F49" s="12">
        <v>330</v>
      </c>
      <c r="G49" s="12" t="s">
        <v>32</v>
      </c>
      <c r="H49" s="12">
        <v>2</v>
      </c>
      <c r="I49" s="12">
        <v>1</v>
      </c>
      <c r="J49" s="12">
        <v>1</v>
      </c>
      <c r="K49" s="14">
        <v>45369</v>
      </c>
      <c r="L49" s="14">
        <v>45807</v>
      </c>
      <c r="M49" s="12">
        <v>438</v>
      </c>
      <c r="N49" s="12">
        <v>320</v>
      </c>
      <c r="O49" s="12" t="s">
        <v>221</v>
      </c>
      <c r="P49" s="12" t="s">
        <v>28</v>
      </c>
    </row>
    <row r="50" spans="1:16" x14ac:dyDescent="0.3">
      <c r="A50" s="12">
        <v>149</v>
      </c>
      <c r="B50" s="12" t="s">
        <v>222</v>
      </c>
      <c r="C50" s="12" t="s">
        <v>223</v>
      </c>
      <c r="D50" s="12" t="s">
        <v>183</v>
      </c>
      <c r="E50" s="12" t="s">
        <v>224</v>
      </c>
      <c r="F50" s="12">
        <v>684</v>
      </c>
      <c r="G50" s="12" t="s">
        <v>20</v>
      </c>
      <c r="H50" s="12">
        <v>49</v>
      </c>
      <c r="I50" s="12">
        <v>36</v>
      </c>
      <c r="J50" s="12">
        <v>13</v>
      </c>
      <c r="K50" s="14">
        <v>45370</v>
      </c>
      <c r="L50" s="14">
        <v>45811</v>
      </c>
      <c r="M50" s="12">
        <v>441</v>
      </c>
      <c r="N50" s="12">
        <v>280</v>
      </c>
      <c r="O50" s="12" t="s">
        <v>225</v>
      </c>
      <c r="P50" s="12" t="s">
        <v>28</v>
      </c>
    </row>
    <row r="51" spans="1:16" x14ac:dyDescent="0.3">
      <c r="A51" s="12">
        <v>150</v>
      </c>
      <c r="B51" s="12" t="s">
        <v>226</v>
      </c>
      <c r="C51" s="12" t="s">
        <v>227</v>
      </c>
      <c r="D51" s="12" t="s">
        <v>183</v>
      </c>
      <c r="E51" s="12" t="s">
        <v>228</v>
      </c>
      <c r="F51" s="12">
        <v>846</v>
      </c>
      <c r="G51" s="12" t="s">
        <v>38</v>
      </c>
      <c r="H51" s="12">
        <v>48</v>
      </c>
      <c r="I51" s="12">
        <v>40</v>
      </c>
      <c r="J51" s="12">
        <v>8</v>
      </c>
      <c r="K51" s="14">
        <v>45371</v>
      </c>
      <c r="L51" s="14">
        <v>45823</v>
      </c>
      <c r="M51" s="12">
        <v>452</v>
      </c>
      <c r="N51" s="12">
        <v>440</v>
      </c>
      <c r="O51" s="12" t="s">
        <v>229</v>
      </c>
      <c r="P51" s="12" t="s">
        <v>28</v>
      </c>
    </row>
    <row r="52" spans="1:16" x14ac:dyDescent="0.3">
      <c r="A52" s="12">
        <v>151</v>
      </c>
      <c r="B52" s="12" t="s">
        <v>230</v>
      </c>
      <c r="C52" s="12" t="s">
        <v>231</v>
      </c>
      <c r="D52" s="12" t="s">
        <v>232</v>
      </c>
      <c r="E52" s="12" t="s">
        <v>233</v>
      </c>
      <c r="F52" s="12">
        <v>220</v>
      </c>
      <c r="G52" s="12" t="s">
        <v>26</v>
      </c>
      <c r="H52" s="12">
        <v>47</v>
      </c>
      <c r="I52" s="12">
        <v>39</v>
      </c>
      <c r="J52" s="12">
        <v>8</v>
      </c>
      <c r="K52" s="14">
        <v>45372</v>
      </c>
      <c r="L52" s="14">
        <v>45835</v>
      </c>
      <c r="M52" s="12">
        <v>463</v>
      </c>
      <c r="N52" s="12">
        <v>380</v>
      </c>
      <c r="O52" s="12" t="s">
        <v>234</v>
      </c>
      <c r="P52" s="12" t="s">
        <v>34</v>
      </c>
    </row>
    <row r="53" spans="1:16" x14ac:dyDescent="0.3">
      <c r="A53" s="12">
        <v>152</v>
      </c>
      <c r="B53" s="12" t="s">
        <v>235</v>
      </c>
      <c r="C53" s="12" t="s">
        <v>236</v>
      </c>
      <c r="D53" s="12" t="s">
        <v>232</v>
      </c>
      <c r="E53" s="12" t="s">
        <v>237</v>
      </c>
      <c r="F53" s="12">
        <v>366</v>
      </c>
      <c r="G53" s="12" t="s">
        <v>38</v>
      </c>
      <c r="H53" s="12">
        <v>46</v>
      </c>
      <c r="I53" s="12">
        <v>41</v>
      </c>
      <c r="J53" s="12">
        <v>5</v>
      </c>
      <c r="K53" s="14">
        <v>45373</v>
      </c>
      <c r="L53" s="14">
        <v>45842</v>
      </c>
      <c r="M53" s="12">
        <v>469</v>
      </c>
      <c r="N53" s="12">
        <v>260</v>
      </c>
      <c r="O53" s="12" t="s">
        <v>238</v>
      </c>
      <c r="P53" s="12" t="s">
        <v>34</v>
      </c>
    </row>
    <row r="54" spans="1:16" x14ac:dyDescent="0.3">
      <c r="A54" s="12">
        <v>153</v>
      </c>
      <c r="B54" s="12" t="s">
        <v>239</v>
      </c>
      <c r="C54" s="12" t="s">
        <v>240</v>
      </c>
      <c r="D54" s="12" t="s">
        <v>232</v>
      </c>
      <c r="E54" s="12" t="s">
        <v>241</v>
      </c>
      <c r="F54" s="12">
        <v>473</v>
      </c>
      <c r="G54" s="12" t="s">
        <v>20</v>
      </c>
      <c r="H54" s="12">
        <v>45</v>
      </c>
      <c r="I54" s="12">
        <v>38</v>
      </c>
      <c r="J54" s="12">
        <v>7</v>
      </c>
      <c r="K54" s="14">
        <v>45374</v>
      </c>
      <c r="L54" s="14">
        <v>45855</v>
      </c>
      <c r="M54" s="12">
        <v>481</v>
      </c>
      <c r="N54" s="12">
        <v>420</v>
      </c>
      <c r="O54" s="12" t="s">
        <v>242</v>
      </c>
      <c r="P54" s="12" t="s">
        <v>34</v>
      </c>
    </row>
    <row r="55" spans="1:16" x14ac:dyDescent="0.3">
      <c r="A55" s="12">
        <v>154</v>
      </c>
      <c r="B55" s="12" t="s">
        <v>243</v>
      </c>
      <c r="C55" s="12" t="s">
        <v>244</v>
      </c>
      <c r="D55" s="12" t="s">
        <v>232</v>
      </c>
      <c r="E55" s="12" t="s">
        <v>245</v>
      </c>
      <c r="F55" s="12">
        <v>587</v>
      </c>
      <c r="G55" s="12" t="s">
        <v>20</v>
      </c>
      <c r="H55" s="12">
        <v>44</v>
      </c>
      <c r="I55" s="12">
        <v>33</v>
      </c>
      <c r="J55" s="12">
        <v>11</v>
      </c>
      <c r="K55" s="14">
        <v>45375</v>
      </c>
      <c r="L55" s="14">
        <v>45868</v>
      </c>
      <c r="M55" s="12">
        <v>493</v>
      </c>
      <c r="N55" s="12">
        <v>300</v>
      </c>
      <c r="O55" s="12" t="s">
        <v>246</v>
      </c>
      <c r="P55" s="12" t="s">
        <v>28</v>
      </c>
    </row>
    <row r="56" spans="1:16" x14ac:dyDescent="0.3">
      <c r="A56" s="12">
        <v>155</v>
      </c>
      <c r="B56" s="12" t="s">
        <v>247</v>
      </c>
      <c r="C56" s="12" t="s">
        <v>248</v>
      </c>
      <c r="D56" s="12" t="s">
        <v>232</v>
      </c>
      <c r="E56" s="12" t="s">
        <v>249</v>
      </c>
      <c r="F56" s="12">
        <v>800</v>
      </c>
      <c r="G56" s="12" t="s">
        <v>38</v>
      </c>
      <c r="H56" s="12">
        <v>43</v>
      </c>
      <c r="I56" s="12">
        <v>32</v>
      </c>
      <c r="J56" s="12">
        <v>11</v>
      </c>
      <c r="K56" s="14">
        <v>45376</v>
      </c>
      <c r="L56" s="14">
        <v>45871</v>
      </c>
      <c r="M56" s="12">
        <v>495</v>
      </c>
      <c r="N56" s="12">
        <v>120</v>
      </c>
      <c r="O56" s="12" t="s">
        <v>250</v>
      </c>
      <c r="P56" s="12" t="s">
        <v>22</v>
      </c>
    </row>
    <row r="57" spans="1:16" x14ac:dyDescent="0.3">
      <c r="A57" s="12">
        <v>156</v>
      </c>
      <c r="B57" s="12" t="s">
        <v>251</v>
      </c>
      <c r="C57" s="12" t="s">
        <v>252</v>
      </c>
      <c r="D57" s="12" t="s">
        <v>232</v>
      </c>
      <c r="E57" s="12" t="s">
        <v>253</v>
      </c>
      <c r="F57" s="12">
        <v>515</v>
      </c>
      <c r="G57" s="12" t="s">
        <v>20</v>
      </c>
      <c r="H57" s="12">
        <v>42</v>
      </c>
      <c r="I57" s="12">
        <v>31</v>
      </c>
      <c r="J57" s="12">
        <v>11</v>
      </c>
      <c r="K57" s="14">
        <v>45377</v>
      </c>
      <c r="L57" s="14">
        <v>45885</v>
      </c>
      <c r="M57" s="12">
        <v>508</v>
      </c>
      <c r="N57" s="12">
        <v>160</v>
      </c>
      <c r="O57" s="12" t="s">
        <v>254</v>
      </c>
      <c r="P57" s="12" t="s">
        <v>28</v>
      </c>
    </row>
    <row r="58" spans="1:16" x14ac:dyDescent="0.3">
      <c r="A58" s="12">
        <v>157</v>
      </c>
      <c r="B58" s="12" t="s">
        <v>255</v>
      </c>
      <c r="C58" s="12" t="s">
        <v>256</v>
      </c>
      <c r="D58" s="12" t="s">
        <v>232</v>
      </c>
      <c r="E58" s="12" t="s">
        <v>257</v>
      </c>
      <c r="F58" s="12">
        <v>213</v>
      </c>
      <c r="G58" s="12" t="s">
        <v>38</v>
      </c>
      <c r="H58" s="12">
        <v>41</v>
      </c>
      <c r="I58" s="12">
        <v>29</v>
      </c>
      <c r="J58" s="12">
        <v>12</v>
      </c>
      <c r="K58" s="14">
        <v>45378</v>
      </c>
      <c r="L58" s="14">
        <v>45897</v>
      </c>
      <c r="M58" s="12">
        <v>519</v>
      </c>
      <c r="N58" s="12">
        <v>280</v>
      </c>
      <c r="O58" s="12" t="s">
        <v>258</v>
      </c>
      <c r="P58" s="12" t="s">
        <v>34</v>
      </c>
    </row>
    <row r="59" spans="1:16" x14ac:dyDescent="0.3">
      <c r="A59" s="12">
        <v>158</v>
      </c>
      <c r="B59" s="12" t="s">
        <v>259</v>
      </c>
      <c r="C59" s="12" t="s">
        <v>260</v>
      </c>
      <c r="D59" s="12" t="s">
        <v>232</v>
      </c>
      <c r="E59" s="12" t="s">
        <v>261</v>
      </c>
      <c r="F59" s="12">
        <v>441</v>
      </c>
      <c r="G59" s="12" t="s">
        <v>65</v>
      </c>
      <c r="H59" s="12">
        <v>40</v>
      </c>
      <c r="I59" s="12">
        <v>27</v>
      </c>
      <c r="J59" s="12">
        <v>13</v>
      </c>
      <c r="K59" s="14">
        <v>45379</v>
      </c>
      <c r="L59" s="14">
        <v>45905</v>
      </c>
      <c r="M59" s="12">
        <v>526</v>
      </c>
      <c r="N59" s="12">
        <v>180</v>
      </c>
      <c r="O59" s="12" t="s">
        <v>262</v>
      </c>
      <c r="P59" s="12" t="s">
        <v>22</v>
      </c>
    </row>
    <row r="60" spans="1:16" x14ac:dyDescent="0.3">
      <c r="A60" s="12">
        <v>159</v>
      </c>
      <c r="B60" s="12" t="s">
        <v>263</v>
      </c>
      <c r="C60" s="12" t="s">
        <v>264</v>
      </c>
      <c r="D60" s="12" t="s">
        <v>232</v>
      </c>
      <c r="E60" s="12" t="s">
        <v>265</v>
      </c>
      <c r="F60" s="12">
        <v>976</v>
      </c>
      <c r="G60" s="12" t="s">
        <v>38</v>
      </c>
      <c r="H60" s="12">
        <v>39</v>
      </c>
      <c r="I60" s="12">
        <v>25</v>
      </c>
      <c r="J60" s="12">
        <v>14</v>
      </c>
      <c r="K60" s="14">
        <v>45380</v>
      </c>
      <c r="L60" s="14">
        <v>45918</v>
      </c>
      <c r="M60" s="12">
        <v>538</v>
      </c>
      <c r="N60" s="12">
        <v>200</v>
      </c>
      <c r="O60" s="12" t="s">
        <v>266</v>
      </c>
      <c r="P60" s="12" t="s">
        <v>28</v>
      </c>
    </row>
    <row r="61" spans="1:16" x14ac:dyDescent="0.3">
      <c r="A61" s="12">
        <v>160</v>
      </c>
      <c r="B61" s="12" t="s">
        <v>267</v>
      </c>
      <c r="C61" s="12" t="s">
        <v>268</v>
      </c>
      <c r="D61" s="12" t="s">
        <v>232</v>
      </c>
      <c r="E61" s="12" t="s">
        <v>269</v>
      </c>
      <c r="F61" s="12">
        <v>545</v>
      </c>
      <c r="G61" s="12" t="s">
        <v>38</v>
      </c>
      <c r="H61" s="12">
        <v>38</v>
      </c>
      <c r="I61" s="12">
        <v>23</v>
      </c>
      <c r="J61" s="12">
        <v>15</v>
      </c>
      <c r="K61" s="14">
        <v>45381</v>
      </c>
      <c r="L61" s="14">
        <v>45930</v>
      </c>
      <c r="M61" s="12">
        <v>549</v>
      </c>
      <c r="N61" s="12">
        <v>120</v>
      </c>
      <c r="O61" s="12" t="s">
        <v>270</v>
      </c>
      <c r="P61" s="12" t="s">
        <v>28</v>
      </c>
    </row>
    <row r="62" spans="1:16" x14ac:dyDescent="0.3">
      <c r="A62" s="12">
        <v>161</v>
      </c>
      <c r="B62" s="12" t="s">
        <v>271</v>
      </c>
      <c r="C62" s="12" t="s">
        <v>272</v>
      </c>
      <c r="D62" s="12" t="s">
        <v>271</v>
      </c>
      <c r="E62" s="12" t="s">
        <v>273</v>
      </c>
      <c r="F62" s="12">
        <v>764</v>
      </c>
      <c r="G62" s="12" t="s">
        <v>20</v>
      </c>
      <c r="H62" s="12">
        <v>37</v>
      </c>
      <c r="I62" s="12">
        <v>22</v>
      </c>
      <c r="J62" s="12">
        <v>15</v>
      </c>
      <c r="K62" s="14">
        <v>45382</v>
      </c>
      <c r="L62" s="14">
        <v>45934</v>
      </c>
      <c r="M62" s="12">
        <v>552</v>
      </c>
      <c r="N62" s="12">
        <v>140</v>
      </c>
      <c r="O62" s="12" t="s">
        <v>274</v>
      </c>
      <c r="P62" s="12" t="s">
        <v>34</v>
      </c>
    </row>
    <row r="63" spans="1:16" x14ac:dyDescent="0.3">
      <c r="A63" s="12">
        <v>162</v>
      </c>
      <c r="B63" s="12" t="s">
        <v>275</v>
      </c>
      <c r="C63" s="12" t="s">
        <v>276</v>
      </c>
      <c r="D63" s="12" t="s">
        <v>271</v>
      </c>
      <c r="E63" s="12" t="s">
        <v>277</v>
      </c>
      <c r="F63" s="12">
        <v>539</v>
      </c>
      <c r="G63" s="12" t="s">
        <v>20</v>
      </c>
      <c r="H63" s="12">
        <v>36</v>
      </c>
      <c r="I63" s="12">
        <v>20</v>
      </c>
      <c r="J63" s="12">
        <v>16</v>
      </c>
      <c r="K63" s="14">
        <v>45383</v>
      </c>
      <c r="L63" s="14">
        <v>45947</v>
      </c>
      <c r="M63" s="12">
        <v>564</v>
      </c>
      <c r="N63" s="12">
        <v>800</v>
      </c>
      <c r="O63" s="12" t="s">
        <v>278</v>
      </c>
      <c r="P63" s="12" t="s">
        <v>28</v>
      </c>
    </row>
    <row r="64" spans="1:16" x14ac:dyDescent="0.3">
      <c r="A64" s="12">
        <v>163</v>
      </c>
      <c r="B64" s="12" t="s">
        <v>279</v>
      </c>
      <c r="C64" s="12" t="s">
        <v>280</v>
      </c>
      <c r="D64" s="12" t="s">
        <v>271</v>
      </c>
      <c r="E64" s="12" t="s">
        <v>281</v>
      </c>
      <c r="F64" s="12">
        <v>291</v>
      </c>
      <c r="G64" s="12" t="s">
        <v>32</v>
      </c>
      <c r="H64" s="12">
        <v>35</v>
      </c>
      <c r="I64" s="12">
        <v>19</v>
      </c>
      <c r="J64" s="12">
        <v>16</v>
      </c>
      <c r="K64" s="14">
        <v>45384</v>
      </c>
      <c r="L64" s="14">
        <v>45959</v>
      </c>
      <c r="M64" s="12">
        <v>575</v>
      </c>
      <c r="N64" s="12">
        <v>320</v>
      </c>
      <c r="O64" s="12" t="s">
        <v>282</v>
      </c>
      <c r="P64" s="12" t="s">
        <v>34</v>
      </c>
    </row>
    <row r="65" spans="1:16" x14ac:dyDescent="0.3">
      <c r="A65" s="12">
        <v>164</v>
      </c>
      <c r="B65" s="12" t="s">
        <v>283</v>
      </c>
      <c r="C65" s="12" t="s">
        <v>284</v>
      </c>
      <c r="D65" s="12" t="s">
        <v>271</v>
      </c>
      <c r="E65" s="12" t="s">
        <v>285</v>
      </c>
      <c r="F65" s="12">
        <v>566</v>
      </c>
      <c r="G65" s="12" t="s">
        <v>32</v>
      </c>
      <c r="H65" s="12">
        <v>34</v>
      </c>
      <c r="I65" s="12">
        <v>17</v>
      </c>
      <c r="J65" s="12">
        <v>17</v>
      </c>
      <c r="K65" s="14">
        <v>45385</v>
      </c>
      <c r="L65" s="14">
        <v>45964</v>
      </c>
      <c r="M65" s="12">
        <v>579</v>
      </c>
      <c r="N65" s="12">
        <v>240</v>
      </c>
      <c r="O65" s="12" t="s">
        <v>286</v>
      </c>
      <c r="P65" s="12" t="s">
        <v>28</v>
      </c>
    </row>
    <row r="66" spans="1:16" x14ac:dyDescent="0.3">
      <c r="A66" s="12">
        <v>165</v>
      </c>
      <c r="B66" s="12" t="s">
        <v>287</v>
      </c>
      <c r="C66" s="12" t="s">
        <v>288</v>
      </c>
      <c r="D66" s="12" t="s">
        <v>271</v>
      </c>
      <c r="E66" s="12" t="s">
        <v>289</v>
      </c>
      <c r="F66" s="12">
        <v>654</v>
      </c>
      <c r="G66" s="12" t="s">
        <v>65</v>
      </c>
      <c r="H66" s="12">
        <v>33</v>
      </c>
      <c r="I66" s="12">
        <v>15</v>
      </c>
      <c r="J66" s="12">
        <v>18</v>
      </c>
      <c r="K66" s="14">
        <v>45386</v>
      </c>
      <c r="L66" s="14">
        <v>45976</v>
      </c>
      <c r="M66" s="12">
        <v>590</v>
      </c>
      <c r="N66" s="12">
        <v>300</v>
      </c>
      <c r="O66" s="12" t="s">
        <v>290</v>
      </c>
      <c r="P66" s="12" t="s">
        <v>22</v>
      </c>
    </row>
    <row r="67" spans="1:16" x14ac:dyDescent="0.3">
      <c r="A67" s="12">
        <v>166</v>
      </c>
      <c r="B67" s="12" t="s">
        <v>291</v>
      </c>
      <c r="C67" s="12" t="s">
        <v>292</v>
      </c>
      <c r="D67" s="12" t="s">
        <v>271</v>
      </c>
      <c r="E67" s="12" t="s">
        <v>293</v>
      </c>
      <c r="F67" s="12">
        <v>627</v>
      </c>
      <c r="G67" s="12" t="s">
        <v>32</v>
      </c>
      <c r="H67" s="12">
        <v>32</v>
      </c>
      <c r="I67" s="12">
        <v>14</v>
      </c>
      <c r="J67" s="12">
        <v>18</v>
      </c>
      <c r="K67" s="14">
        <v>45387</v>
      </c>
      <c r="L67" s="14">
        <v>45989</v>
      </c>
      <c r="M67" s="12">
        <v>602</v>
      </c>
      <c r="N67" s="12">
        <v>260</v>
      </c>
      <c r="O67" s="12" t="s">
        <v>294</v>
      </c>
      <c r="P67" s="12" t="s">
        <v>34</v>
      </c>
    </row>
    <row r="68" spans="1:16" x14ac:dyDescent="0.3">
      <c r="A68" s="12">
        <v>167</v>
      </c>
      <c r="B68" s="12" t="s">
        <v>295</v>
      </c>
      <c r="C68" s="12" t="s">
        <v>296</v>
      </c>
      <c r="D68" s="12" t="s">
        <v>271</v>
      </c>
      <c r="E68" s="12" t="s">
        <v>297</v>
      </c>
      <c r="F68" s="12">
        <v>708</v>
      </c>
      <c r="G68" s="12" t="s">
        <v>38</v>
      </c>
      <c r="H68" s="12">
        <v>31</v>
      </c>
      <c r="I68" s="12">
        <v>12</v>
      </c>
      <c r="J68" s="12">
        <v>19</v>
      </c>
      <c r="K68" s="14">
        <v>45388</v>
      </c>
      <c r="L68" s="14">
        <v>45996</v>
      </c>
      <c r="M68" s="12">
        <v>608</v>
      </c>
      <c r="N68" s="12">
        <v>200</v>
      </c>
      <c r="O68" s="12" t="s">
        <v>298</v>
      </c>
      <c r="P68" s="12" t="s">
        <v>28</v>
      </c>
    </row>
    <row r="69" spans="1:16" x14ac:dyDescent="0.3">
      <c r="A69" s="12">
        <v>168</v>
      </c>
      <c r="B69" s="12" t="s">
        <v>299</v>
      </c>
      <c r="C69" s="12" t="s">
        <v>300</v>
      </c>
      <c r="D69" s="12" t="s">
        <v>271</v>
      </c>
      <c r="E69" s="12" t="s">
        <v>301</v>
      </c>
      <c r="F69" s="12">
        <v>975</v>
      </c>
      <c r="G69" s="12" t="s">
        <v>20</v>
      </c>
      <c r="H69" s="12">
        <v>30</v>
      </c>
      <c r="I69" s="12">
        <v>23</v>
      </c>
      <c r="J69" s="12">
        <v>7</v>
      </c>
      <c r="K69" s="14">
        <v>45389</v>
      </c>
      <c r="L69" s="14">
        <v>46009</v>
      </c>
      <c r="M69" s="12">
        <v>620</v>
      </c>
      <c r="N69" s="12">
        <v>180</v>
      </c>
      <c r="O69" s="12" t="s">
        <v>119</v>
      </c>
      <c r="P69" s="12" t="s">
        <v>34</v>
      </c>
    </row>
    <row r="70" spans="1:16" x14ac:dyDescent="0.3">
      <c r="A70" s="12">
        <v>169</v>
      </c>
      <c r="B70" s="12" t="s">
        <v>302</v>
      </c>
      <c r="C70" s="12" t="s">
        <v>303</v>
      </c>
      <c r="D70" s="12" t="s">
        <v>271</v>
      </c>
      <c r="E70" s="12" t="s">
        <v>304</v>
      </c>
      <c r="F70" s="12">
        <v>234</v>
      </c>
      <c r="G70" s="12" t="s">
        <v>32</v>
      </c>
      <c r="H70" s="12">
        <v>29</v>
      </c>
      <c r="I70" s="12">
        <v>12</v>
      </c>
      <c r="J70" s="12">
        <v>17</v>
      </c>
      <c r="K70" s="14">
        <v>45390</v>
      </c>
      <c r="L70" s="14">
        <v>46021</v>
      </c>
      <c r="M70" s="12">
        <v>631</v>
      </c>
      <c r="N70" s="12">
        <v>100</v>
      </c>
      <c r="O70" s="12" t="s">
        <v>305</v>
      </c>
      <c r="P70" s="12" t="s">
        <v>28</v>
      </c>
    </row>
    <row r="71" spans="1:16" x14ac:dyDescent="0.3">
      <c r="A71" s="12">
        <v>170</v>
      </c>
      <c r="B71" s="12" t="s">
        <v>306</v>
      </c>
      <c r="C71" s="12" t="s">
        <v>307</v>
      </c>
      <c r="D71" s="12" t="s">
        <v>271</v>
      </c>
      <c r="E71" s="12" t="s">
        <v>308</v>
      </c>
      <c r="F71" s="12">
        <v>405</v>
      </c>
      <c r="G71" s="12" t="s">
        <v>32</v>
      </c>
      <c r="H71" s="12">
        <v>28</v>
      </c>
      <c r="I71" s="12">
        <v>23</v>
      </c>
      <c r="J71" s="12">
        <v>5</v>
      </c>
      <c r="K71" s="14">
        <v>45391</v>
      </c>
      <c r="L71" s="14">
        <v>46025</v>
      </c>
      <c r="M71" s="12">
        <v>634</v>
      </c>
      <c r="N71" s="12">
        <v>220</v>
      </c>
      <c r="O71" s="12" t="s">
        <v>309</v>
      </c>
      <c r="P71" s="12" t="s">
        <v>28</v>
      </c>
    </row>
    <row r="72" spans="1:16" x14ac:dyDescent="0.3">
      <c r="A72" s="12">
        <v>171</v>
      </c>
      <c r="B72" s="12" t="s">
        <v>310</v>
      </c>
      <c r="C72" s="12" t="s">
        <v>311</v>
      </c>
      <c r="D72" s="12" t="s">
        <v>310</v>
      </c>
      <c r="E72" s="12" t="s">
        <v>312</v>
      </c>
      <c r="F72" s="12">
        <v>280</v>
      </c>
      <c r="G72" s="12" t="s">
        <v>65</v>
      </c>
      <c r="H72" s="12">
        <v>27</v>
      </c>
      <c r="I72" s="12">
        <v>12</v>
      </c>
      <c r="J72" s="12">
        <v>15</v>
      </c>
      <c r="K72" s="14">
        <v>45392</v>
      </c>
      <c r="L72" s="14">
        <v>46038</v>
      </c>
      <c r="M72" s="12">
        <v>646</v>
      </c>
      <c r="N72" s="12">
        <v>280</v>
      </c>
      <c r="O72" s="12" t="s">
        <v>106</v>
      </c>
      <c r="P72" s="12" t="s">
        <v>28</v>
      </c>
    </row>
    <row r="73" spans="1:16" x14ac:dyDescent="0.3">
      <c r="A73" s="12">
        <v>172</v>
      </c>
      <c r="B73" s="12" t="s">
        <v>313</v>
      </c>
      <c r="C73" s="12" t="s">
        <v>314</v>
      </c>
      <c r="D73" s="12" t="s">
        <v>310</v>
      </c>
      <c r="E73" s="12" t="s">
        <v>315</v>
      </c>
      <c r="F73" s="12">
        <v>761</v>
      </c>
      <c r="G73" s="12" t="s">
        <v>65</v>
      </c>
      <c r="H73" s="12">
        <v>26</v>
      </c>
      <c r="I73" s="12">
        <v>13</v>
      </c>
      <c r="J73" s="12">
        <v>13</v>
      </c>
      <c r="K73" s="14">
        <v>45393</v>
      </c>
      <c r="L73" s="14">
        <v>46050</v>
      </c>
      <c r="M73" s="12">
        <v>657</v>
      </c>
      <c r="N73" s="12">
        <v>320</v>
      </c>
      <c r="O73" s="12" t="s">
        <v>316</v>
      </c>
      <c r="P73" s="12" t="s">
        <v>28</v>
      </c>
    </row>
    <row r="74" spans="1:16" x14ac:dyDescent="0.3">
      <c r="A74" s="12">
        <v>173</v>
      </c>
      <c r="B74" s="12" t="s">
        <v>317</v>
      </c>
      <c r="C74" s="12" t="s">
        <v>318</v>
      </c>
      <c r="D74" s="12" t="s">
        <v>310</v>
      </c>
      <c r="E74" s="12" t="s">
        <v>319</v>
      </c>
      <c r="F74" s="12">
        <v>587</v>
      </c>
      <c r="G74" s="12" t="s">
        <v>38</v>
      </c>
      <c r="H74" s="12">
        <v>25</v>
      </c>
      <c r="I74" s="12">
        <v>23</v>
      </c>
      <c r="J74" s="12">
        <v>2</v>
      </c>
      <c r="K74" s="14">
        <v>45394</v>
      </c>
      <c r="L74" s="14">
        <v>46058</v>
      </c>
      <c r="M74" s="12">
        <v>664</v>
      </c>
      <c r="N74" s="12">
        <v>360</v>
      </c>
      <c r="O74" s="12" t="s">
        <v>320</v>
      </c>
      <c r="P74" s="12" t="s">
        <v>28</v>
      </c>
    </row>
    <row r="75" spans="1:16" x14ac:dyDescent="0.3">
      <c r="A75" s="12">
        <v>174</v>
      </c>
      <c r="B75" s="12" t="s">
        <v>321</v>
      </c>
      <c r="C75" s="12" t="s">
        <v>322</v>
      </c>
      <c r="D75" s="12" t="s">
        <v>310</v>
      </c>
      <c r="E75" s="12" t="s">
        <v>323</v>
      </c>
      <c r="F75" s="12">
        <v>201</v>
      </c>
      <c r="G75" s="12" t="s">
        <v>20</v>
      </c>
      <c r="H75" s="12">
        <v>24</v>
      </c>
      <c r="I75" s="12">
        <v>3</v>
      </c>
      <c r="J75" s="12">
        <v>21</v>
      </c>
      <c r="K75" s="14">
        <v>45395</v>
      </c>
      <c r="L75" s="14">
        <v>46070</v>
      </c>
      <c r="M75" s="12">
        <v>675</v>
      </c>
      <c r="N75" s="12">
        <v>400</v>
      </c>
      <c r="O75" s="12" t="s">
        <v>324</v>
      </c>
      <c r="P75" s="12" t="s">
        <v>28</v>
      </c>
    </row>
    <row r="76" spans="1:16" x14ac:dyDescent="0.3">
      <c r="A76" s="12">
        <v>175</v>
      </c>
      <c r="B76" s="12" t="s">
        <v>325</v>
      </c>
      <c r="C76" s="12" t="s">
        <v>326</v>
      </c>
      <c r="D76" s="12" t="s">
        <v>310</v>
      </c>
      <c r="E76" s="12" t="s">
        <v>327</v>
      </c>
      <c r="F76" s="12">
        <v>589</v>
      </c>
      <c r="G76" s="12" t="s">
        <v>65</v>
      </c>
      <c r="H76" s="12">
        <v>23</v>
      </c>
      <c r="I76" s="12">
        <v>13</v>
      </c>
      <c r="J76" s="12">
        <v>10</v>
      </c>
      <c r="K76" s="14">
        <v>45396</v>
      </c>
      <c r="L76" s="14">
        <v>46080</v>
      </c>
      <c r="M76" s="12">
        <v>684</v>
      </c>
      <c r="N76" s="12">
        <v>420</v>
      </c>
      <c r="O76" s="12" t="s">
        <v>328</v>
      </c>
      <c r="P76" s="12" t="s">
        <v>28</v>
      </c>
    </row>
    <row r="77" spans="1:16" x14ac:dyDescent="0.3">
      <c r="A77" s="12">
        <v>176</v>
      </c>
      <c r="B77" s="12" t="s">
        <v>329</v>
      </c>
      <c r="C77" s="12" t="s">
        <v>330</v>
      </c>
      <c r="D77" s="12" t="s">
        <v>310</v>
      </c>
      <c r="E77" s="12" t="s">
        <v>331</v>
      </c>
      <c r="F77" s="12">
        <v>765</v>
      </c>
      <c r="G77" s="12" t="s">
        <v>32</v>
      </c>
      <c r="H77" s="12">
        <v>22</v>
      </c>
      <c r="I77" s="12">
        <v>13</v>
      </c>
      <c r="J77" s="12">
        <v>9</v>
      </c>
      <c r="K77" s="14">
        <v>45397</v>
      </c>
      <c r="L77" s="14">
        <v>46085</v>
      </c>
      <c r="M77" s="12">
        <v>688</v>
      </c>
      <c r="N77" s="12">
        <v>440</v>
      </c>
      <c r="O77" s="12" t="s">
        <v>332</v>
      </c>
      <c r="P77" s="12" t="s">
        <v>28</v>
      </c>
    </row>
    <row r="78" spans="1:16" x14ac:dyDescent="0.3">
      <c r="A78" s="12">
        <v>177</v>
      </c>
      <c r="B78" s="12" t="s">
        <v>333</v>
      </c>
      <c r="C78" s="12" t="s">
        <v>334</v>
      </c>
      <c r="D78" s="12" t="s">
        <v>310</v>
      </c>
      <c r="E78" s="12" t="s">
        <v>335</v>
      </c>
      <c r="F78" s="12">
        <v>305</v>
      </c>
      <c r="G78" s="12" t="s">
        <v>20</v>
      </c>
      <c r="H78" s="12">
        <v>21</v>
      </c>
      <c r="I78" s="12">
        <v>1</v>
      </c>
      <c r="J78" s="12">
        <v>20</v>
      </c>
      <c r="K78" s="14">
        <v>45398</v>
      </c>
      <c r="L78" s="14">
        <v>46097</v>
      </c>
      <c r="M78" s="12">
        <v>699</v>
      </c>
      <c r="N78" s="12">
        <v>460</v>
      </c>
      <c r="O78" s="12" t="s">
        <v>336</v>
      </c>
      <c r="P78" s="12" t="s">
        <v>28</v>
      </c>
    </row>
    <row r="79" spans="1:16" x14ac:dyDescent="0.3">
      <c r="A79" s="12">
        <v>178</v>
      </c>
      <c r="B79" s="12" t="s">
        <v>337</v>
      </c>
      <c r="C79" s="12" t="s">
        <v>338</v>
      </c>
      <c r="D79" s="12" t="s">
        <v>310</v>
      </c>
      <c r="E79" s="12" t="s">
        <v>339</v>
      </c>
      <c r="F79" s="12">
        <v>971</v>
      </c>
      <c r="G79" s="12" t="s">
        <v>20</v>
      </c>
      <c r="H79" s="12">
        <v>20</v>
      </c>
      <c r="I79" s="12">
        <v>1</v>
      </c>
      <c r="J79" s="12">
        <v>19</v>
      </c>
      <c r="K79" s="14">
        <v>45399</v>
      </c>
      <c r="L79" s="14">
        <v>46109</v>
      </c>
      <c r="M79" s="12">
        <v>710</v>
      </c>
      <c r="N79" s="12">
        <v>480</v>
      </c>
      <c r="O79" s="12" t="s">
        <v>340</v>
      </c>
      <c r="P79" s="12" t="s">
        <v>28</v>
      </c>
    </row>
    <row r="80" spans="1:16" x14ac:dyDescent="0.3">
      <c r="A80" s="12">
        <v>179</v>
      </c>
      <c r="B80" s="12" t="s">
        <v>341</v>
      </c>
      <c r="C80" s="12" t="s">
        <v>342</v>
      </c>
      <c r="D80" s="12" t="s">
        <v>310</v>
      </c>
      <c r="E80" s="12" t="s">
        <v>343</v>
      </c>
      <c r="F80" s="12">
        <v>676</v>
      </c>
      <c r="G80" s="12" t="s">
        <v>32</v>
      </c>
      <c r="H80" s="12">
        <v>19</v>
      </c>
      <c r="I80" s="12">
        <v>2</v>
      </c>
      <c r="J80" s="12">
        <v>17</v>
      </c>
      <c r="K80" s="14">
        <v>45400</v>
      </c>
      <c r="L80" s="14">
        <v>46115</v>
      </c>
      <c r="M80" s="12">
        <v>715</v>
      </c>
      <c r="N80" s="12">
        <v>180</v>
      </c>
      <c r="O80" s="12" t="s">
        <v>344</v>
      </c>
      <c r="P80" s="12" t="s">
        <v>28</v>
      </c>
    </row>
    <row r="81" spans="1:16" x14ac:dyDescent="0.3">
      <c r="A81" s="12">
        <v>180</v>
      </c>
      <c r="B81" s="12" t="s">
        <v>345</v>
      </c>
      <c r="C81" s="12" t="s">
        <v>346</v>
      </c>
      <c r="D81" s="12" t="s">
        <v>310</v>
      </c>
      <c r="E81" s="12" t="s">
        <v>347</v>
      </c>
      <c r="F81" s="12">
        <v>902</v>
      </c>
      <c r="G81" s="12" t="s">
        <v>65</v>
      </c>
      <c r="H81" s="12">
        <v>18</v>
      </c>
      <c r="I81" s="12">
        <v>3</v>
      </c>
      <c r="J81" s="12">
        <v>15</v>
      </c>
      <c r="K81" s="14">
        <v>45401</v>
      </c>
      <c r="L81" s="14">
        <v>46127</v>
      </c>
      <c r="M81" s="12">
        <v>726</v>
      </c>
      <c r="N81" s="12">
        <v>200</v>
      </c>
      <c r="O81" s="12" t="s">
        <v>348</v>
      </c>
      <c r="P81" s="12" t="s">
        <v>28</v>
      </c>
    </row>
    <row r="82" spans="1:16" x14ac:dyDescent="0.3">
      <c r="A82" s="12">
        <v>181</v>
      </c>
      <c r="B82" s="12" t="s">
        <v>349</v>
      </c>
      <c r="C82" s="12" t="s">
        <v>350</v>
      </c>
      <c r="D82" s="12" t="s">
        <v>351</v>
      </c>
      <c r="E82" s="12" t="s">
        <v>352</v>
      </c>
      <c r="F82" s="12">
        <v>601</v>
      </c>
      <c r="G82" s="12" t="s">
        <v>32</v>
      </c>
      <c r="H82" s="12">
        <v>17</v>
      </c>
      <c r="I82" s="12">
        <v>4</v>
      </c>
      <c r="J82" s="12">
        <v>13</v>
      </c>
      <c r="K82" s="14">
        <v>45402</v>
      </c>
      <c r="L82" s="14">
        <v>46141</v>
      </c>
      <c r="M82" s="12">
        <v>739</v>
      </c>
      <c r="N82" s="12">
        <v>240</v>
      </c>
      <c r="O82" s="12" t="s">
        <v>305</v>
      </c>
      <c r="P82" s="12" t="s">
        <v>22</v>
      </c>
    </row>
    <row r="83" spans="1:16" x14ac:dyDescent="0.3">
      <c r="A83" s="12">
        <v>182</v>
      </c>
      <c r="B83" s="12" t="s">
        <v>353</v>
      </c>
      <c r="C83" s="12" t="s">
        <v>354</v>
      </c>
      <c r="D83" s="12" t="s">
        <v>351</v>
      </c>
      <c r="E83" s="12" t="s">
        <v>355</v>
      </c>
      <c r="F83" s="12">
        <v>929</v>
      </c>
      <c r="G83" s="12" t="s">
        <v>20</v>
      </c>
      <c r="H83" s="12">
        <v>16</v>
      </c>
      <c r="I83" s="12">
        <v>5</v>
      </c>
      <c r="J83" s="12">
        <v>11</v>
      </c>
      <c r="K83" s="14">
        <v>45403</v>
      </c>
      <c r="L83" s="14">
        <v>46146</v>
      </c>
      <c r="M83" s="12">
        <v>743</v>
      </c>
      <c r="N83" s="12">
        <v>160</v>
      </c>
      <c r="O83" s="12" t="s">
        <v>356</v>
      </c>
      <c r="P83" s="12" t="s">
        <v>28</v>
      </c>
    </row>
    <row r="84" spans="1:16" x14ac:dyDescent="0.3">
      <c r="A84" s="12">
        <v>183</v>
      </c>
      <c r="B84" s="12" t="s">
        <v>357</v>
      </c>
      <c r="C84" s="12" t="s">
        <v>358</v>
      </c>
      <c r="D84" s="12" t="s">
        <v>351</v>
      </c>
      <c r="E84" s="12" t="s">
        <v>359</v>
      </c>
      <c r="F84" s="12">
        <v>755</v>
      </c>
      <c r="G84" s="12" t="s">
        <v>26</v>
      </c>
      <c r="H84" s="12">
        <v>15</v>
      </c>
      <c r="I84" s="12">
        <v>6</v>
      </c>
      <c r="J84" s="12">
        <v>9</v>
      </c>
      <c r="K84" s="14">
        <v>45404</v>
      </c>
      <c r="L84" s="14">
        <v>46160</v>
      </c>
      <c r="M84" s="12">
        <v>756</v>
      </c>
      <c r="N84" s="12">
        <v>280</v>
      </c>
      <c r="O84" s="12" t="s">
        <v>360</v>
      </c>
      <c r="P84" s="12" t="s">
        <v>34</v>
      </c>
    </row>
    <row r="85" spans="1:16" x14ac:dyDescent="0.3">
      <c r="A85" s="12">
        <v>184</v>
      </c>
      <c r="B85" s="12" t="s">
        <v>361</v>
      </c>
      <c r="C85" s="12" t="s">
        <v>362</v>
      </c>
      <c r="D85" s="12" t="s">
        <v>351</v>
      </c>
      <c r="E85" s="12" t="s">
        <v>363</v>
      </c>
      <c r="F85" s="12">
        <v>361</v>
      </c>
      <c r="G85" s="12" t="s">
        <v>26</v>
      </c>
      <c r="H85" s="12">
        <v>14</v>
      </c>
      <c r="I85" s="12">
        <v>7</v>
      </c>
      <c r="J85" s="12">
        <v>7</v>
      </c>
      <c r="K85" s="14">
        <v>45405</v>
      </c>
      <c r="L85" s="14">
        <v>46172</v>
      </c>
      <c r="M85" s="12">
        <v>767</v>
      </c>
      <c r="N85" s="12">
        <v>300</v>
      </c>
      <c r="O85" s="12" t="s">
        <v>131</v>
      </c>
      <c r="P85" s="12" t="s">
        <v>28</v>
      </c>
    </row>
    <row r="86" spans="1:16" x14ac:dyDescent="0.3">
      <c r="A86" s="12">
        <v>185</v>
      </c>
      <c r="B86" s="12" t="s">
        <v>364</v>
      </c>
      <c r="C86" s="12" t="s">
        <v>365</v>
      </c>
      <c r="D86" s="12" t="s">
        <v>351</v>
      </c>
      <c r="E86" s="12" t="s">
        <v>366</v>
      </c>
      <c r="F86" s="12">
        <v>401</v>
      </c>
      <c r="G86" s="12" t="s">
        <v>38</v>
      </c>
      <c r="H86" s="12">
        <v>13</v>
      </c>
      <c r="I86" s="12">
        <v>8</v>
      </c>
      <c r="J86" s="12">
        <v>5</v>
      </c>
      <c r="K86" s="14">
        <v>45406</v>
      </c>
      <c r="L86" s="14">
        <v>46175</v>
      </c>
      <c r="M86" s="12">
        <v>769</v>
      </c>
      <c r="N86" s="12">
        <v>340</v>
      </c>
      <c r="O86" s="12" t="s">
        <v>367</v>
      </c>
      <c r="P86" s="12" t="s">
        <v>28</v>
      </c>
    </row>
    <row r="87" spans="1:16" x14ac:dyDescent="0.3">
      <c r="A87" s="12">
        <v>186</v>
      </c>
      <c r="B87" s="12" t="s">
        <v>368</v>
      </c>
      <c r="C87" s="12" t="s">
        <v>369</v>
      </c>
      <c r="D87" s="12" t="s">
        <v>351</v>
      </c>
      <c r="E87" s="12" t="s">
        <v>370</v>
      </c>
      <c r="F87" s="12">
        <v>469</v>
      </c>
      <c r="G87" s="12" t="s">
        <v>32</v>
      </c>
      <c r="H87" s="12">
        <v>12</v>
      </c>
      <c r="I87" s="12">
        <v>9</v>
      </c>
      <c r="J87" s="12">
        <v>3</v>
      </c>
      <c r="K87" s="14">
        <v>45407</v>
      </c>
      <c r="L87" s="14">
        <v>46189</v>
      </c>
      <c r="M87" s="12">
        <v>782</v>
      </c>
      <c r="N87" s="12">
        <v>320</v>
      </c>
      <c r="O87" s="12" t="s">
        <v>371</v>
      </c>
      <c r="P87" s="12" t="s">
        <v>22</v>
      </c>
    </row>
    <row r="88" spans="1:16" x14ac:dyDescent="0.3">
      <c r="A88" s="12">
        <v>187</v>
      </c>
      <c r="B88" s="12" t="s">
        <v>372</v>
      </c>
      <c r="C88" s="12" t="s">
        <v>373</v>
      </c>
      <c r="D88" s="12" t="s">
        <v>351</v>
      </c>
      <c r="E88" s="12" t="s">
        <v>374</v>
      </c>
      <c r="F88" s="12">
        <v>470</v>
      </c>
      <c r="G88" s="12" t="s">
        <v>32</v>
      </c>
      <c r="H88" s="12">
        <v>11</v>
      </c>
      <c r="I88" s="12">
        <v>10</v>
      </c>
      <c r="J88" s="12">
        <v>1</v>
      </c>
      <c r="K88" s="14">
        <v>45408</v>
      </c>
      <c r="L88" s="14">
        <v>46201</v>
      </c>
      <c r="M88" s="12">
        <v>793</v>
      </c>
      <c r="N88" s="12">
        <v>180</v>
      </c>
      <c r="O88" s="12" t="s">
        <v>375</v>
      </c>
      <c r="P88" s="12" t="s">
        <v>34</v>
      </c>
    </row>
    <row r="89" spans="1:16" x14ac:dyDescent="0.3">
      <c r="A89" s="12">
        <v>188</v>
      </c>
      <c r="B89" s="12" t="s">
        <v>376</v>
      </c>
      <c r="C89" s="12" t="s">
        <v>377</v>
      </c>
      <c r="D89" s="12" t="s">
        <v>351</v>
      </c>
      <c r="E89" s="12" t="s">
        <v>378</v>
      </c>
      <c r="F89" s="12">
        <v>655</v>
      </c>
      <c r="G89" s="12" t="s">
        <v>38</v>
      </c>
      <c r="H89" s="12">
        <v>11</v>
      </c>
      <c r="I89" s="12">
        <v>10</v>
      </c>
      <c r="J89" s="12">
        <v>1</v>
      </c>
      <c r="K89" s="14">
        <v>45409</v>
      </c>
      <c r="L89" s="14">
        <v>46206</v>
      </c>
      <c r="M89" s="12">
        <v>797</v>
      </c>
      <c r="N89" s="12">
        <v>200</v>
      </c>
      <c r="O89" s="12" t="s">
        <v>379</v>
      </c>
      <c r="P89" s="12" t="s">
        <v>34</v>
      </c>
    </row>
    <row r="90" spans="1:16" x14ac:dyDescent="0.3">
      <c r="A90" s="12">
        <v>189</v>
      </c>
      <c r="B90" s="12" t="s">
        <v>380</v>
      </c>
      <c r="C90" s="12" t="s">
        <v>381</v>
      </c>
      <c r="D90" s="12" t="s">
        <v>351</v>
      </c>
      <c r="E90" s="12" t="s">
        <v>382</v>
      </c>
      <c r="F90" s="12">
        <v>661</v>
      </c>
      <c r="G90" s="12" t="s">
        <v>38</v>
      </c>
      <c r="H90" s="12">
        <v>12</v>
      </c>
      <c r="I90" s="12">
        <v>9</v>
      </c>
      <c r="J90" s="12">
        <v>3</v>
      </c>
      <c r="K90" s="14">
        <v>45410</v>
      </c>
      <c r="L90" s="14">
        <v>46220</v>
      </c>
      <c r="M90" s="12">
        <v>810</v>
      </c>
      <c r="N90" s="12">
        <v>160</v>
      </c>
      <c r="O90" s="12" t="s">
        <v>383</v>
      </c>
      <c r="P90" s="12" t="s">
        <v>28</v>
      </c>
    </row>
    <row r="91" spans="1:16" x14ac:dyDescent="0.3">
      <c r="A91" s="12">
        <v>190</v>
      </c>
      <c r="B91" s="12" t="s">
        <v>384</v>
      </c>
      <c r="C91" s="12" t="s">
        <v>385</v>
      </c>
      <c r="D91" s="12" t="s">
        <v>351</v>
      </c>
      <c r="E91" s="12" t="s">
        <v>386</v>
      </c>
      <c r="F91" s="12">
        <v>926</v>
      </c>
      <c r="G91" s="12" t="s">
        <v>38</v>
      </c>
      <c r="H91" s="12">
        <v>13</v>
      </c>
      <c r="I91" s="12">
        <v>8</v>
      </c>
      <c r="J91" s="12">
        <v>5</v>
      </c>
      <c r="K91" s="14">
        <v>45411</v>
      </c>
      <c r="L91" s="14">
        <v>46233</v>
      </c>
      <c r="M91" s="12">
        <v>822</v>
      </c>
      <c r="N91" s="12">
        <v>120</v>
      </c>
      <c r="O91" s="12" t="s">
        <v>387</v>
      </c>
      <c r="P91" s="12" t="s">
        <v>28</v>
      </c>
    </row>
    <row r="92" spans="1:16" x14ac:dyDescent="0.3">
      <c r="A92" s="12">
        <v>191</v>
      </c>
      <c r="B92" s="12" t="s">
        <v>388</v>
      </c>
      <c r="C92" s="12" t="s">
        <v>389</v>
      </c>
      <c r="D92" s="12" t="s">
        <v>351</v>
      </c>
      <c r="E92" s="12" t="s">
        <v>390</v>
      </c>
      <c r="F92" s="12">
        <v>451</v>
      </c>
      <c r="G92" s="12" t="s">
        <v>20</v>
      </c>
      <c r="H92" s="12">
        <v>14</v>
      </c>
      <c r="I92" s="12">
        <v>7</v>
      </c>
      <c r="J92" s="12">
        <v>7</v>
      </c>
      <c r="K92" s="14">
        <v>45412</v>
      </c>
      <c r="L92" s="14">
        <v>46238</v>
      </c>
      <c r="M92" s="12">
        <v>826</v>
      </c>
      <c r="N92" s="12">
        <v>260</v>
      </c>
      <c r="O92" s="12" t="s">
        <v>391</v>
      </c>
      <c r="P92" s="12" t="s">
        <v>22</v>
      </c>
    </row>
    <row r="93" spans="1:16" x14ac:dyDescent="0.3">
      <c r="A93" s="12">
        <v>192</v>
      </c>
      <c r="B93" s="12" t="s">
        <v>392</v>
      </c>
      <c r="C93" s="12" t="s">
        <v>393</v>
      </c>
      <c r="D93" s="12" t="s">
        <v>351</v>
      </c>
      <c r="E93" s="12" t="s">
        <v>394</v>
      </c>
      <c r="F93" s="12">
        <v>901</v>
      </c>
      <c r="G93" s="12" t="s">
        <v>32</v>
      </c>
      <c r="H93" s="12">
        <v>15</v>
      </c>
      <c r="I93" s="12">
        <v>6</v>
      </c>
      <c r="J93" s="12">
        <v>9</v>
      </c>
      <c r="K93" s="14">
        <v>45413</v>
      </c>
      <c r="L93" s="14">
        <v>46252</v>
      </c>
      <c r="M93" s="12">
        <v>839</v>
      </c>
      <c r="N93" s="12">
        <v>280</v>
      </c>
      <c r="O93" s="12" t="s">
        <v>395</v>
      </c>
      <c r="P93" s="12" t="s">
        <v>34</v>
      </c>
    </row>
    <row r="94" spans="1:16" x14ac:dyDescent="0.3">
      <c r="A94" s="12">
        <v>193</v>
      </c>
      <c r="B94" s="12" t="s">
        <v>396</v>
      </c>
      <c r="C94" s="12" t="s">
        <v>397</v>
      </c>
      <c r="D94" s="12" t="s">
        <v>351</v>
      </c>
      <c r="E94" s="12" t="s">
        <v>398</v>
      </c>
      <c r="F94" s="12">
        <v>495</v>
      </c>
      <c r="G94" s="12" t="s">
        <v>20</v>
      </c>
      <c r="H94" s="12">
        <v>16</v>
      </c>
      <c r="I94" s="12">
        <v>5</v>
      </c>
      <c r="J94" s="12">
        <v>11</v>
      </c>
      <c r="K94" s="14">
        <v>45414</v>
      </c>
      <c r="L94" s="14">
        <v>46263</v>
      </c>
      <c r="M94" s="12">
        <v>849</v>
      </c>
      <c r="N94" s="12">
        <v>320</v>
      </c>
      <c r="O94" s="12" t="s">
        <v>399</v>
      </c>
      <c r="P94" s="12" t="s">
        <v>22</v>
      </c>
    </row>
    <row r="95" spans="1:16" x14ac:dyDescent="0.3">
      <c r="A95" s="12">
        <v>194</v>
      </c>
      <c r="B95" s="12" t="s">
        <v>400</v>
      </c>
      <c r="C95" s="12" t="s">
        <v>401</v>
      </c>
      <c r="D95" s="12" t="s">
        <v>351</v>
      </c>
      <c r="E95" s="12" t="s">
        <v>402</v>
      </c>
      <c r="F95" s="12">
        <v>924</v>
      </c>
      <c r="G95" s="12" t="s">
        <v>38</v>
      </c>
      <c r="H95" s="12">
        <v>17</v>
      </c>
      <c r="I95" s="12">
        <v>4</v>
      </c>
      <c r="J95" s="12">
        <v>13</v>
      </c>
      <c r="K95" s="14">
        <v>45415</v>
      </c>
      <c r="L95" s="14">
        <v>46270</v>
      </c>
      <c r="M95" s="12">
        <v>855</v>
      </c>
      <c r="N95" s="12">
        <v>360</v>
      </c>
      <c r="O95" s="12" t="s">
        <v>403</v>
      </c>
      <c r="P95" s="12" t="s">
        <v>34</v>
      </c>
    </row>
    <row r="96" spans="1:16" x14ac:dyDescent="0.3">
      <c r="A96" s="12">
        <v>195</v>
      </c>
      <c r="B96" s="12" t="s">
        <v>404</v>
      </c>
      <c r="C96" s="12" t="s">
        <v>405</v>
      </c>
      <c r="D96" s="12" t="s">
        <v>351</v>
      </c>
      <c r="E96" s="12" t="s">
        <v>406</v>
      </c>
      <c r="F96" s="12">
        <v>919</v>
      </c>
      <c r="G96" s="12" t="s">
        <v>32</v>
      </c>
      <c r="H96" s="12">
        <v>18</v>
      </c>
      <c r="I96" s="12">
        <v>3</v>
      </c>
      <c r="J96" s="12">
        <v>15</v>
      </c>
      <c r="K96" s="14">
        <v>45416</v>
      </c>
      <c r="L96" s="14">
        <v>46282</v>
      </c>
      <c r="M96" s="12">
        <v>866</v>
      </c>
      <c r="N96" s="12">
        <v>380</v>
      </c>
      <c r="O96" s="12" t="s">
        <v>407</v>
      </c>
      <c r="P96" s="12" t="s">
        <v>22</v>
      </c>
    </row>
    <row r="97" spans="1:16" x14ac:dyDescent="0.3">
      <c r="A97" s="12">
        <v>196</v>
      </c>
      <c r="B97" s="12" t="s">
        <v>408</v>
      </c>
      <c r="C97" s="12" t="s">
        <v>362</v>
      </c>
      <c r="D97" s="12" t="s">
        <v>351</v>
      </c>
      <c r="E97" s="12" t="s">
        <v>409</v>
      </c>
      <c r="F97" s="12">
        <v>948</v>
      </c>
      <c r="G97" s="12" t="s">
        <v>20</v>
      </c>
      <c r="H97" s="12">
        <v>19</v>
      </c>
      <c r="I97" s="12">
        <v>2</v>
      </c>
      <c r="J97" s="12">
        <v>17</v>
      </c>
      <c r="K97" s="14">
        <v>45417</v>
      </c>
      <c r="L97" s="14">
        <v>46295</v>
      </c>
      <c r="M97" s="12">
        <v>878</v>
      </c>
      <c r="N97" s="12">
        <v>400</v>
      </c>
      <c r="O97" s="12" t="s">
        <v>254</v>
      </c>
      <c r="P97" s="12" t="s">
        <v>34</v>
      </c>
    </row>
    <row r="98" spans="1:16" x14ac:dyDescent="0.3">
      <c r="A98" s="12">
        <v>197</v>
      </c>
      <c r="B98" s="12" t="s">
        <v>410</v>
      </c>
      <c r="C98" s="12" t="s">
        <v>411</v>
      </c>
      <c r="D98" s="12" t="s">
        <v>351</v>
      </c>
      <c r="E98" s="12" t="s">
        <v>412</v>
      </c>
      <c r="F98" s="12">
        <v>537</v>
      </c>
      <c r="G98" s="12" t="s">
        <v>20</v>
      </c>
      <c r="H98" s="12">
        <v>20</v>
      </c>
      <c r="I98" s="12">
        <v>1</v>
      </c>
      <c r="J98" s="12">
        <v>19</v>
      </c>
      <c r="K98" s="14">
        <v>45418</v>
      </c>
      <c r="L98" s="14">
        <v>46298</v>
      </c>
      <c r="M98" s="12">
        <v>880</v>
      </c>
      <c r="N98" s="12">
        <v>420</v>
      </c>
      <c r="O98" s="12" t="s">
        <v>413</v>
      </c>
      <c r="P98" s="12" t="s">
        <v>34</v>
      </c>
    </row>
    <row r="99" spans="1:16" x14ac:dyDescent="0.3">
      <c r="A99" s="12">
        <v>198</v>
      </c>
      <c r="B99" s="12" t="s">
        <v>414</v>
      </c>
      <c r="C99" s="12" t="s">
        <v>415</v>
      </c>
      <c r="D99" s="12" t="s">
        <v>351</v>
      </c>
      <c r="E99" s="12" t="s">
        <v>416</v>
      </c>
      <c r="F99" s="12">
        <v>252</v>
      </c>
      <c r="G99" s="12" t="s">
        <v>38</v>
      </c>
      <c r="H99" s="12">
        <v>49</v>
      </c>
      <c r="I99" s="12">
        <v>35</v>
      </c>
      <c r="J99" s="12">
        <v>14</v>
      </c>
      <c r="K99" s="14">
        <v>45419</v>
      </c>
      <c r="L99" s="14">
        <v>46311</v>
      </c>
      <c r="M99" s="12">
        <v>892</v>
      </c>
      <c r="N99" s="12">
        <v>440</v>
      </c>
      <c r="O99" s="12" t="s">
        <v>417</v>
      </c>
      <c r="P99" s="12" t="s">
        <v>28</v>
      </c>
    </row>
    <row r="100" spans="1:16" x14ac:dyDescent="0.3">
      <c r="A100" s="12">
        <v>199</v>
      </c>
      <c r="B100" s="12" t="s">
        <v>418</v>
      </c>
      <c r="C100" s="12" t="s">
        <v>419</v>
      </c>
      <c r="D100" s="12" t="s">
        <v>351</v>
      </c>
      <c r="E100" s="12" t="s">
        <v>420</v>
      </c>
      <c r="F100" s="12">
        <v>991</v>
      </c>
      <c r="G100" s="12" t="s">
        <v>32</v>
      </c>
      <c r="H100" s="12">
        <v>48</v>
      </c>
      <c r="I100" s="12">
        <v>33</v>
      </c>
      <c r="J100" s="12">
        <v>15</v>
      </c>
      <c r="K100" s="14">
        <v>45420</v>
      </c>
      <c r="L100" s="14">
        <v>46323</v>
      </c>
      <c r="M100" s="12">
        <v>903</v>
      </c>
      <c r="N100" s="12">
        <v>460</v>
      </c>
      <c r="O100" s="12" t="s">
        <v>421</v>
      </c>
      <c r="P100" s="12" t="s">
        <v>107</v>
      </c>
    </row>
    <row r="101" spans="1:16" x14ac:dyDescent="0.3">
      <c r="A101" s="12">
        <v>200</v>
      </c>
      <c r="B101" s="12" t="s">
        <v>422</v>
      </c>
      <c r="C101" s="12" t="s">
        <v>423</v>
      </c>
      <c r="D101" s="12" t="s">
        <v>351</v>
      </c>
      <c r="E101" s="12" t="s">
        <v>424</v>
      </c>
      <c r="F101" s="12">
        <v>416</v>
      </c>
      <c r="G101" s="12" t="s">
        <v>38</v>
      </c>
      <c r="H101" s="12">
        <v>47</v>
      </c>
      <c r="I101" s="12">
        <v>32</v>
      </c>
      <c r="J101" s="12">
        <v>15</v>
      </c>
      <c r="K101" s="14">
        <v>45421</v>
      </c>
      <c r="L101" s="14">
        <v>46330</v>
      </c>
      <c r="M101" s="12">
        <v>909</v>
      </c>
      <c r="N101" s="12">
        <v>480</v>
      </c>
      <c r="O101" s="12" t="s">
        <v>246</v>
      </c>
      <c r="P101" s="12" t="s">
        <v>22</v>
      </c>
    </row>
    <row r="102" spans="1:16" x14ac:dyDescent="0.3">
      <c r="A102" s="12">
        <v>201</v>
      </c>
      <c r="B102" s="12" t="s">
        <v>425</v>
      </c>
      <c r="C102" s="12" t="s">
        <v>426</v>
      </c>
      <c r="D102" s="12" t="s">
        <v>425</v>
      </c>
      <c r="E102" s="12" t="s">
        <v>427</v>
      </c>
      <c r="F102" s="12">
        <v>963</v>
      </c>
      <c r="G102" s="12" t="s">
        <v>32</v>
      </c>
      <c r="H102" s="12">
        <v>46</v>
      </c>
      <c r="I102" s="12">
        <v>23</v>
      </c>
      <c r="J102" s="12">
        <v>23</v>
      </c>
      <c r="K102" s="14">
        <v>45422</v>
      </c>
      <c r="L102" s="14">
        <v>46343</v>
      </c>
      <c r="M102" s="12">
        <v>921</v>
      </c>
      <c r="N102" s="12">
        <v>200</v>
      </c>
      <c r="O102" s="12" t="s">
        <v>428</v>
      </c>
      <c r="P102" s="12" t="s">
        <v>28</v>
      </c>
    </row>
    <row r="103" spans="1:16" x14ac:dyDescent="0.3">
      <c r="A103" s="12">
        <v>202</v>
      </c>
      <c r="B103" s="12" t="s">
        <v>429</v>
      </c>
      <c r="C103" s="12" t="s">
        <v>430</v>
      </c>
      <c r="D103" s="12" t="s">
        <v>425</v>
      </c>
      <c r="E103" s="12" t="s">
        <v>431</v>
      </c>
      <c r="F103" s="12">
        <v>387</v>
      </c>
      <c r="G103" s="12" t="s">
        <v>26</v>
      </c>
      <c r="H103" s="12">
        <v>45</v>
      </c>
      <c r="I103" s="12">
        <v>29</v>
      </c>
      <c r="J103" s="12">
        <v>16</v>
      </c>
      <c r="K103" s="14">
        <v>45423</v>
      </c>
      <c r="L103" s="14">
        <v>46355</v>
      </c>
      <c r="M103" s="12">
        <v>932</v>
      </c>
      <c r="N103" s="12">
        <v>180</v>
      </c>
      <c r="O103" s="12" t="s">
        <v>432</v>
      </c>
      <c r="P103" s="12" t="s">
        <v>22</v>
      </c>
    </row>
    <row r="104" spans="1:16" x14ac:dyDescent="0.3">
      <c r="A104" s="12">
        <v>203</v>
      </c>
      <c r="B104" s="12" t="s">
        <v>433</v>
      </c>
      <c r="C104" s="12" t="s">
        <v>434</v>
      </c>
      <c r="D104" s="12" t="s">
        <v>425</v>
      </c>
      <c r="E104" s="12" t="s">
        <v>435</v>
      </c>
      <c r="F104" s="12">
        <v>579</v>
      </c>
      <c r="G104" s="12" t="s">
        <v>65</v>
      </c>
      <c r="H104" s="12">
        <v>44</v>
      </c>
      <c r="I104" s="12">
        <v>34</v>
      </c>
      <c r="J104" s="12">
        <v>10</v>
      </c>
      <c r="K104" s="14">
        <v>45424</v>
      </c>
      <c r="L104" s="14">
        <v>46361</v>
      </c>
      <c r="M104" s="12">
        <v>937</v>
      </c>
      <c r="N104" s="12">
        <v>160</v>
      </c>
      <c r="O104" s="12" t="s">
        <v>436</v>
      </c>
      <c r="P104" s="12" t="s">
        <v>34</v>
      </c>
    </row>
    <row r="105" spans="1:16" x14ac:dyDescent="0.3">
      <c r="A105" s="12">
        <v>204</v>
      </c>
      <c r="B105" s="12" t="s">
        <v>437</v>
      </c>
      <c r="C105" s="12" t="s">
        <v>438</v>
      </c>
      <c r="D105" s="12" t="s">
        <v>425</v>
      </c>
      <c r="E105" s="12" t="s">
        <v>439</v>
      </c>
      <c r="F105" s="12">
        <v>692</v>
      </c>
      <c r="G105" s="12" t="s">
        <v>65</v>
      </c>
      <c r="H105" s="12">
        <v>43</v>
      </c>
      <c r="I105" s="12">
        <v>27</v>
      </c>
      <c r="J105" s="12">
        <v>16</v>
      </c>
      <c r="K105" s="14">
        <v>45425</v>
      </c>
      <c r="L105" s="14">
        <v>46374</v>
      </c>
      <c r="M105" s="12">
        <v>949</v>
      </c>
      <c r="N105" s="12">
        <v>140</v>
      </c>
      <c r="O105" s="12" t="s">
        <v>440</v>
      </c>
      <c r="P105" s="12" t="s">
        <v>107</v>
      </c>
    </row>
    <row r="106" spans="1:16" x14ac:dyDescent="0.3">
      <c r="A106" s="12">
        <v>205</v>
      </c>
      <c r="B106" s="12" t="s">
        <v>441</v>
      </c>
      <c r="C106" s="12" t="s">
        <v>442</v>
      </c>
      <c r="D106" s="12" t="s">
        <v>425</v>
      </c>
      <c r="E106" s="12" t="s">
        <v>443</v>
      </c>
      <c r="F106" s="12">
        <v>240</v>
      </c>
      <c r="G106" s="12" t="s">
        <v>65</v>
      </c>
      <c r="H106" s="12">
        <v>42</v>
      </c>
      <c r="I106" s="12">
        <v>34</v>
      </c>
      <c r="J106" s="12">
        <v>8</v>
      </c>
      <c r="K106" s="14">
        <v>45426</v>
      </c>
      <c r="L106" s="14">
        <v>46386</v>
      </c>
      <c r="M106" s="12">
        <v>960</v>
      </c>
      <c r="N106" s="12">
        <v>120</v>
      </c>
      <c r="O106" s="12" t="s">
        <v>444</v>
      </c>
      <c r="P106" s="12" t="s">
        <v>28</v>
      </c>
    </row>
    <row r="107" spans="1:16" x14ac:dyDescent="0.3">
      <c r="A107" s="12">
        <v>206</v>
      </c>
      <c r="B107" s="12" t="s">
        <v>445</v>
      </c>
      <c r="C107" s="12" t="s">
        <v>446</v>
      </c>
      <c r="D107" s="12" t="s">
        <v>447</v>
      </c>
      <c r="E107" s="12" t="s">
        <v>448</v>
      </c>
      <c r="F107" s="12">
        <v>356</v>
      </c>
      <c r="G107" s="12" t="s">
        <v>38</v>
      </c>
      <c r="H107" s="12">
        <v>41</v>
      </c>
      <c r="I107" s="12">
        <v>24</v>
      </c>
      <c r="J107" s="12">
        <v>17</v>
      </c>
      <c r="K107" s="14">
        <v>45427</v>
      </c>
      <c r="L107" s="14">
        <v>46391</v>
      </c>
      <c r="M107" s="12">
        <v>964</v>
      </c>
      <c r="N107" s="12">
        <v>100</v>
      </c>
      <c r="O107" s="12" t="s">
        <v>449</v>
      </c>
      <c r="P107" s="12" t="s">
        <v>28</v>
      </c>
    </row>
    <row r="108" spans="1:16" x14ac:dyDescent="0.3">
      <c r="A108" s="12">
        <v>207</v>
      </c>
      <c r="B108" s="12" t="s">
        <v>450</v>
      </c>
      <c r="C108" s="12" t="s">
        <v>451</v>
      </c>
      <c r="D108" s="12" t="s">
        <v>447</v>
      </c>
      <c r="E108" s="12" t="s">
        <v>452</v>
      </c>
      <c r="F108" s="12">
        <v>214</v>
      </c>
      <c r="G108" s="12" t="s">
        <v>26</v>
      </c>
      <c r="H108" s="12">
        <v>40</v>
      </c>
      <c r="I108" s="12">
        <v>34</v>
      </c>
      <c r="J108" s="12">
        <v>6</v>
      </c>
      <c r="K108" s="14">
        <v>45428</v>
      </c>
      <c r="L108" s="14">
        <v>46403</v>
      </c>
      <c r="M108" s="12">
        <v>975</v>
      </c>
      <c r="N108" s="12">
        <v>800</v>
      </c>
      <c r="O108" s="12" t="s">
        <v>453</v>
      </c>
      <c r="P108" s="12" t="s">
        <v>22</v>
      </c>
    </row>
    <row r="109" spans="1:16" x14ac:dyDescent="0.3">
      <c r="A109" s="12">
        <v>208</v>
      </c>
      <c r="B109" s="12" t="s">
        <v>454</v>
      </c>
      <c r="C109" s="12" t="s">
        <v>455</v>
      </c>
      <c r="D109" s="12" t="s">
        <v>447</v>
      </c>
      <c r="E109" s="12" t="s">
        <v>456</v>
      </c>
      <c r="F109" s="12">
        <v>264</v>
      </c>
      <c r="G109" s="12" t="s">
        <v>32</v>
      </c>
      <c r="H109" s="12">
        <v>39</v>
      </c>
      <c r="I109" s="12">
        <v>26</v>
      </c>
      <c r="J109" s="12">
        <v>13</v>
      </c>
      <c r="K109" s="14">
        <v>45429</v>
      </c>
      <c r="L109" s="14">
        <v>46415</v>
      </c>
      <c r="M109" s="12">
        <v>986</v>
      </c>
      <c r="N109" s="12">
        <v>600</v>
      </c>
      <c r="O109" s="12" t="s">
        <v>457</v>
      </c>
      <c r="P109" s="12" t="s">
        <v>28</v>
      </c>
    </row>
    <row r="110" spans="1:16" x14ac:dyDescent="0.3">
      <c r="A110" s="12">
        <v>209</v>
      </c>
      <c r="B110" s="12" t="s">
        <v>458</v>
      </c>
      <c r="C110" s="12" t="s">
        <v>459</v>
      </c>
      <c r="D110" s="12" t="s">
        <v>447</v>
      </c>
      <c r="E110" s="12" t="s">
        <v>460</v>
      </c>
      <c r="F110" s="12">
        <v>720</v>
      </c>
      <c r="G110" s="12" t="s">
        <v>20</v>
      </c>
      <c r="H110" s="12">
        <v>38</v>
      </c>
      <c r="I110" s="12">
        <v>23</v>
      </c>
      <c r="J110" s="12">
        <v>15</v>
      </c>
      <c r="K110" s="14">
        <v>45430</v>
      </c>
      <c r="L110" s="14">
        <v>46423</v>
      </c>
      <c r="M110" s="12">
        <v>993</v>
      </c>
      <c r="N110" s="12">
        <v>400</v>
      </c>
      <c r="O110" s="12" t="s">
        <v>461</v>
      </c>
      <c r="P110" s="12" t="s">
        <v>28</v>
      </c>
    </row>
    <row r="111" spans="1:16" x14ac:dyDescent="0.3">
      <c r="A111" s="12">
        <v>210</v>
      </c>
      <c r="B111" s="12" t="s">
        <v>462</v>
      </c>
      <c r="C111" s="12" t="s">
        <v>463</v>
      </c>
      <c r="D111" s="12" t="s">
        <v>447</v>
      </c>
      <c r="E111" s="12" t="s">
        <v>464</v>
      </c>
      <c r="F111" s="12">
        <v>543</v>
      </c>
      <c r="G111" s="12" t="s">
        <v>32</v>
      </c>
      <c r="H111" s="12">
        <v>37</v>
      </c>
      <c r="I111" s="12">
        <v>20</v>
      </c>
      <c r="J111" s="12">
        <v>17</v>
      </c>
      <c r="K111" s="14">
        <v>45431</v>
      </c>
      <c r="L111" s="14">
        <v>46435</v>
      </c>
      <c r="M111" s="12">
        <v>1004</v>
      </c>
      <c r="N111" s="12">
        <v>200</v>
      </c>
      <c r="O111" s="12" t="s">
        <v>465</v>
      </c>
      <c r="P111" s="12" t="s">
        <v>28</v>
      </c>
    </row>
    <row r="112" spans="1:16" x14ac:dyDescent="0.3">
      <c r="A112" s="12">
        <v>211</v>
      </c>
      <c r="B112" s="12" t="s">
        <v>466</v>
      </c>
      <c r="C112" s="12" t="s">
        <v>467</v>
      </c>
      <c r="D112" s="12" t="s">
        <v>447</v>
      </c>
      <c r="E112" s="12" t="s">
        <v>468</v>
      </c>
      <c r="F112" s="12">
        <v>328</v>
      </c>
      <c r="G112" s="12" t="s">
        <v>20</v>
      </c>
      <c r="H112" s="12">
        <v>36</v>
      </c>
      <c r="I112" s="12">
        <v>15</v>
      </c>
      <c r="J112" s="12">
        <v>21</v>
      </c>
      <c r="K112" s="14">
        <v>45432</v>
      </c>
      <c r="L112" s="14">
        <v>46445</v>
      </c>
      <c r="M112" s="12">
        <v>1013</v>
      </c>
      <c r="N112" s="12">
        <v>530</v>
      </c>
      <c r="O112" s="12" t="s">
        <v>469</v>
      </c>
      <c r="P112" s="12" t="s">
        <v>22</v>
      </c>
    </row>
    <row r="113" spans="1:16" x14ac:dyDescent="0.3">
      <c r="A113" s="12">
        <v>212</v>
      </c>
      <c r="B113" s="12" t="s">
        <v>470</v>
      </c>
      <c r="C113" s="12" t="s">
        <v>471</v>
      </c>
      <c r="D113" s="12" t="s">
        <v>447</v>
      </c>
      <c r="E113" s="12" t="s">
        <v>472</v>
      </c>
      <c r="F113" s="12">
        <v>847</v>
      </c>
      <c r="G113" s="12" t="s">
        <v>32</v>
      </c>
      <c r="H113" s="12">
        <v>35</v>
      </c>
      <c r="I113" s="12">
        <v>18</v>
      </c>
      <c r="J113" s="12">
        <v>17</v>
      </c>
      <c r="K113" s="14">
        <v>45433</v>
      </c>
      <c r="L113" s="14">
        <v>46450</v>
      </c>
      <c r="M113" s="12">
        <v>1017</v>
      </c>
      <c r="N113" s="12">
        <v>120</v>
      </c>
      <c r="O113" s="12" t="s">
        <v>473</v>
      </c>
      <c r="P113" s="12" t="s">
        <v>34</v>
      </c>
    </row>
    <row r="114" spans="1:16" x14ac:dyDescent="0.3">
      <c r="A114" s="12">
        <v>213</v>
      </c>
      <c r="B114" s="12" t="s">
        <v>474</v>
      </c>
      <c r="C114" s="12" t="s">
        <v>475</v>
      </c>
      <c r="D114" s="12" t="s">
        <v>447</v>
      </c>
      <c r="E114" s="12" t="s">
        <v>476</v>
      </c>
      <c r="F114" s="12">
        <v>671</v>
      </c>
      <c r="G114" s="12" t="s">
        <v>26</v>
      </c>
      <c r="H114" s="12">
        <v>34</v>
      </c>
      <c r="I114" s="12">
        <v>17</v>
      </c>
      <c r="J114" s="12">
        <v>17</v>
      </c>
      <c r="K114" s="14">
        <v>45434</v>
      </c>
      <c r="L114" s="14">
        <v>46462</v>
      </c>
      <c r="M114" s="12">
        <v>1028</v>
      </c>
      <c r="N114" s="12">
        <v>140</v>
      </c>
      <c r="O114" s="12" t="s">
        <v>477</v>
      </c>
      <c r="P114" s="12" t="s">
        <v>107</v>
      </c>
    </row>
    <row r="115" spans="1:16" x14ac:dyDescent="0.3">
      <c r="A115" s="12">
        <v>214</v>
      </c>
      <c r="B115" s="12" t="s">
        <v>478</v>
      </c>
      <c r="C115" s="12" t="s">
        <v>479</v>
      </c>
      <c r="D115" s="12" t="s">
        <v>447</v>
      </c>
      <c r="E115" s="12" t="s">
        <v>480</v>
      </c>
      <c r="F115" s="12">
        <v>262</v>
      </c>
      <c r="G115" s="12" t="s">
        <v>20</v>
      </c>
      <c r="H115" s="12">
        <v>33</v>
      </c>
      <c r="I115" s="12">
        <v>18</v>
      </c>
      <c r="J115" s="12">
        <v>15</v>
      </c>
      <c r="K115" s="14">
        <v>45435</v>
      </c>
      <c r="L115" s="14">
        <v>46474</v>
      </c>
      <c r="M115" s="12">
        <v>1039</v>
      </c>
      <c r="N115" s="12">
        <v>160</v>
      </c>
      <c r="O115" s="12" t="s">
        <v>481</v>
      </c>
      <c r="P115" s="12" t="s">
        <v>28</v>
      </c>
    </row>
    <row r="116" spans="1:16" x14ac:dyDescent="0.3">
      <c r="A116" s="12">
        <v>215</v>
      </c>
      <c r="B116" s="12" t="s">
        <v>482</v>
      </c>
      <c r="C116" s="12" t="s">
        <v>483</v>
      </c>
      <c r="D116" s="12" t="s">
        <v>447</v>
      </c>
      <c r="E116" s="12" t="s">
        <v>484</v>
      </c>
      <c r="F116" s="12">
        <v>338</v>
      </c>
      <c r="G116" s="12" t="s">
        <v>38</v>
      </c>
      <c r="H116" s="12">
        <v>32</v>
      </c>
      <c r="I116" s="12">
        <v>27</v>
      </c>
      <c r="J116" s="12">
        <v>5</v>
      </c>
      <c r="K116" s="14">
        <v>45436</v>
      </c>
      <c r="L116" s="14">
        <v>46480</v>
      </c>
      <c r="M116" s="12">
        <v>1044</v>
      </c>
      <c r="N116" s="12">
        <v>180</v>
      </c>
      <c r="O116" s="12" t="s">
        <v>485</v>
      </c>
      <c r="P116" s="12" t="s">
        <v>34</v>
      </c>
    </row>
    <row r="117" spans="1:16" x14ac:dyDescent="0.3">
      <c r="A117" s="12">
        <v>216</v>
      </c>
      <c r="B117" s="12" t="s">
        <v>486</v>
      </c>
      <c r="C117" s="12" t="s">
        <v>487</v>
      </c>
      <c r="D117" s="12" t="s">
        <v>447</v>
      </c>
      <c r="E117" s="12" t="s">
        <v>488</v>
      </c>
      <c r="F117" s="12">
        <v>698</v>
      </c>
      <c r="G117" s="12" t="s">
        <v>32</v>
      </c>
      <c r="H117" s="12">
        <v>31</v>
      </c>
      <c r="I117" s="12">
        <v>23</v>
      </c>
      <c r="J117" s="12">
        <v>8</v>
      </c>
      <c r="K117" s="14">
        <v>45437</v>
      </c>
      <c r="L117" s="14">
        <v>46492</v>
      </c>
      <c r="M117" s="12">
        <v>1055</v>
      </c>
      <c r="N117" s="12">
        <v>200</v>
      </c>
      <c r="O117" s="12" t="s">
        <v>489</v>
      </c>
      <c r="P117" s="12" t="s">
        <v>28</v>
      </c>
    </row>
    <row r="118" spans="1:16" x14ac:dyDescent="0.3">
      <c r="A118" s="12">
        <v>217</v>
      </c>
      <c r="B118" s="12" t="s">
        <v>490</v>
      </c>
      <c r="C118" s="12" t="s">
        <v>491</v>
      </c>
      <c r="D118" s="12" t="s">
        <v>447</v>
      </c>
      <c r="E118" s="12" t="s">
        <v>492</v>
      </c>
      <c r="F118" s="12">
        <v>792</v>
      </c>
      <c r="G118" s="12" t="s">
        <v>32</v>
      </c>
      <c r="H118" s="12">
        <v>30</v>
      </c>
      <c r="I118" s="12">
        <v>24</v>
      </c>
      <c r="J118" s="12">
        <v>6</v>
      </c>
      <c r="K118" s="14">
        <v>45438</v>
      </c>
      <c r="L118" s="14">
        <v>46506</v>
      </c>
      <c r="M118" s="12">
        <v>1068</v>
      </c>
      <c r="N118" s="12">
        <v>220</v>
      </c>
      <c r="O118" s="12" t="s">
        <v>493</v>
      </c>
      <c r="P118" s="12" t="s">
        <v>28</v>
      </c>
    </row>
    <row r="119" spans="1:16" x14ac:dyDescent="0.3">
      <c r="A119" s="12">
        <v>218</v>
      </c>
      <c r="B119" s="12" t="s">
        <v>494</v>
      </c>
      <c r="C119" s="12" t="s">
        <v>495</v>
      </c>
      <c r="D119" s="12" t="s">
        <v>447</v>
      </c>
      <c r="E119" s="12" t="s">
        <v>496</v>
      </c>
      <c r="F119" s="12">
        <v>591</v>
      </c>
      <c r="G119" s="12" t="s">
        <v>20</v>
      </c>
      <c r="H119" s="12">
        <v>29</v>
      </c>
      <c r="I119" s="12">
        <v>23</v>
      </c>
      <c r="J119" s="12">
        <v>6</v>
      </c>
      <c r="K119" s="14">
        <v>45439</v>
      </c>
      <c r="L119" s="14">
        <v>46511</v>
      </c>
      <c r="M119" s="12">
        <v>1072</v>
      </c>
      <c r="N119" s="12">
        <v>240</v>
      </c>
      <c r="O119" s="12" t="s">
        <v>497</v>
      </c>
      <c r="P119" s="12" t="s">
        <v>28</v>
      </c>
    </row>
    <row r="120" spans="1:16" x14ac:dyDescent="0.3">
      <c r="A120" s="12">
        <v>219</v>
      </c>
      <c r="B120" s="12" t="s">
        <v>498</v>
      </c>
      <c r="C120" s="12" t="s">
        <v>40</v>
      </c>
      <c r="D120" s="12" t="s">
        <v>447</v>
      </c>
      <c r="E120" s="12" t="s">
        <v>499</v>
      </c>
      <c r="F120" s="12">
        <v>874</v>
      </c>
      <c r="G120" s="12" t="s">
        <v>38</v>
      </c>
      <c r="H120" s="12">
        <v>28</v>
      </c>
      <c r="I120" s="12">
        <v>24</v>
      </c>
      <c r="J120" s="12">
        <v>4</v>
      </c>
      <c r="K120" s="14">
        <v>45440</v>
      </c>
      <c r="L120" s="14">
        <v>46525</v>
      </c>
      <c r="M120" s="12">
        <v>1085</v>
      </c>
      <c r="N120" s="12">
        <v>260</v>
      </c>
      <c r="O120" s="12" t="s">
        <v>500</v>
      </c>
      <c r="P120" s="12" t="s">
        <v>28</v>
      </c>
    </row>
    <row r="121" spans="1:16" x14ac:dyDescent="0.3">
      <c r="A121" s="12">
        <v>220</v>
      </c>
      <c r="B121" s="12" t="s">
        <v>501</v>
      </c>
      <c r="C121" s="12" t="s">
        <v>502</v>
      </c>
      <c r="D121" s="12" t="s">
        <v>447</v>
      </c>
      <c r="E121" s="12" t="s">
        <v>503</v>
      </c>
      <c r="F121" s="12">
        <v>618</v>
      </c>
      <c r="G121" s="12" t="s">
        <v>38</v>
      </c>
      <c r="H121" s="12">
        <v>27</v>
      </c>
      <c r="I121" s="12">
        <v>18</v>
      </c>
      <c r="J121" s="12">
        <v>9</v>
      </c>
      <c r="K121" s="14">
        <v>45441</v>
      </c>
      <c r="L121" s="14">
        <v>46537</v>
      </c>
      <c r="M121" s="12">
        <v>1096</v>
      </c>
      <c r="N121" s="12">
        <v>280</v>
      </c>
      <c r="O121" s="12" t="s">
        <v>504</v>
      </c>
      <c r="P121" s="12" t="s">
        <v>34</v>
      </c>
    </row>
    <row r="122" spans="1:16" x14ac:dyDescent="0.3">
      <c r="A122" s="12">
        <v>221</v>
      </c>
      <c r="B122" s="12" t="s">
        <v>505</v>
      </c>
      <c r="C122" s="12" t="s">
        <v>506</v>
      </c>
      <c r="D122" s="12" t="s">
        <v>447</v>
      </c>
      <c r="E122" s="12" t="s">
        <v>507</v>
      </c>
      <c r="F122" s="12">
        <v>488</v>
      </c>
      <c r="G122" s="12" t="s">
        <v>26</v>
      </c>
      <c r="H122" s="12">
        <v>26</v>
      </c>
      <c r="I122" s="12">
        <v>16</v>
      </c>
      <c r="J122" s="12">
        <v>10</v>
      </c>
      <c r="K122" s="14">
        <v>45442</v>
      </c>
      <c r="L122" s="14">
        <v>46540</v>
      </c>
      <c r="M122" s="12">
        <v>1098</v>
      </c>
      <c r="N122" s="12">
        <v>300</v>
      </c>
      <c r="O122" s="12" t="s">
        <v>508</v>
      </c>
      <c r="P122" s="12" t="s">
        <v>28</v>
      </c>
    </row>
    <row r="123" spans="1:16" x14ac:dyDescent="0.3">
      <c r="A123" s="12">
        <v>222</v>
      </c>
      <c r="B123" s="12" t="s">
        <v>509</v>
      </c>
      <c r="C123" s="12" t="s">
        <v>510</v>
      </c>
      <c r="D123" s="12" t="s">
        <v>447</v>
      </c>
      <c r="E123" s="12" t="s">
        <v>511</v>
      </c>
      <c r="F123" s="12">
        <v>578</v>
      </c>
      <c r="G123" s="12" t="s">
        <v>38</v>
      </c>
      <c r="H123" s="12">
        <v>25</v>
      </c>
      <c r="I123" s="12">
        <v>18</v>
      </c>
      <c r="J123" s="12">
        <v>7</v>
      </c>
      <c r="K123" s="14">
        <v>45443</v>
      </c>
      <c r="L123" s="14">
        <v>46554</v>
      </c>
      <c r="M123" s="12">
        <v>1111</v>
      </c>
      <c r="N123" s="12">
        <v>320</v>
      </c>
      <c r="O123" s="12" t="s">
        <v>512</v>
      </c>
      <c r="P123" s="12" t="s">
        <v>22</v>
      </c>
    </row>
    <row r="124" spans="1:16" x14ac:dyDescent="0.3">
      <c r="A124" s="12">
        <v>223</v>
      </c>
      <c r="B124" s="12" t="s">
        <v>513</v>
      </c>
      <c r="C124" s="12" t="s">
        <v>514</v>
      </c>
      <c r="D124" s="12" t="s">
        <v>447</v>
      </c>
      <c r="E124" s="12" t="s">
        <v>515</v>
      </c>
      <c r="F124" s="12">
        <v>972</v>
      </c>
      <c r="G124" s="12" t="s">
        <v>38</v>
      </c>
      <c r="H124" s="12">
        <v>24</v>
      </c>
      <c r="I124" s="12">
        <v>17</v>
      </c>
      <c r="J124" s="12">
        <v>7</v>
      </c>
      <c r="K124" s="14">
        <v>45444</v>
      </c>
      <c r="L124" s="14">
        <v>46566</v>
      </c>
      <c r="M124" s="12">
        <v>1122</v>
      </c>
      <c r="N124" s="12">
        <v>340</v>
      </c>
      <c r="O124" s="12" t="s">
        <v>516</v>
      </c>
      <c r="P124" s="12" t="s">
        <v>28</v>
      </c>
    </row>
    <row r="125" spans="1:16" x14ac:dyDescent="0.3">
      <c r="A125" s="12">
        <v>224</v>
      </c>
      <c r="B125" s="12" t="s">
        <v>83</v>
      </c>
      <c r="C125" s="12" t="s">
        <v>517</v>
      </c>
      <c r="D125" s="12" t="s">
        <v>447</v>
      </c>
      <c r="E125" s="12" t="s">
        <v>518</v>
      </c>
      <c r="F125" s="12">
        <v>689</v>
      </c>
      <c r="G125" s="12" t="s">
        <v>38</v>
      </c>
      <c r="H125" s="12">
        <v>23</v>
      </c>
      <c r="I125" s="12">
        <v>14</v>
      </c>
      <c r="J125" s="12">
        <v>9</v>
      </c>
      <c r="K125" s="14">
        <v>45445</v>
      </c>
      <c r="L125" s="14">
        <v>46571</v>
      </c>
      <c r="M125" s="12">
        <v>1126</v>
      </c>
      <c r="N125" s="12">
        <v>360</v>
      </c>
      <c r="O125" s="12" t="s">
        <v>519</v>
      </c>
      <c r="P125" s="12" t="s">
        <v>28</v>
      </c>
    </row>
    <row r="126" spans="1:16" x14ac:dyDescent="0.3">
      <c r="A126" s="12">
        <v>225</v>
      </c>
      <c r="B126" s="12" t="s">
        <v>520</v>
      </c>
      <c r="C126" s="12" t="s">
        <v>521</v>
      </c>
      <c r="D126" s="12" t="s">
        <v>447</v>
      </c>
      <c r="E126" s="12" t="s">
        <v>522</v>
      </c>
      <c r="F126" s="12">
        <v>430</v>
      </c>
      <c r="G126" s="12" t="s">
        <v>65</v>
      </c>
      <c r="H126" s="12">
        <v>22</v>
      </c>
      <c r="I126" s="12">
        <v>15</v>
      </c>
      <c r="J126" s="12">
        <v>7</v>
      </c>
      <c r="K126" s="14">
        <v>45446</v>
      </c>
      <c r="L126" s="14">
        <v>46585</v>
      </c>
      <c r="M126" s="12">
        <v>1139</v>
      </c>
      <c r="N126" s="12">
        <v>380</v>
      </c>
      <c r="O126" s="12" t="s">
        <v>523</v>
      </c>
      <c r="P126" s="12" t="s">
        <v>28</v>
      </c>
    </row>
    <row r="127" spans="1:16" x14ac:dyDescent="0.3">
      <c r="A127" s="12">
        <v>226</v>
      </c>
      <c r="B127" s="12" t="s">
        <v>524</v>
      </c>
      <c r="C127" s="12" t="s">
        <v>525</v>
      </c>
      <c r="D127" s="12" t="s">
        <v>526</v>
      </c>
      <c r="E127" s="12" t="s">
        <v>527</v>
      </c>
      <c r="F127" s="12">
        <v>240</v>
      </c>
      <c r="G127" s="12" t="s">
        <v>26</v>
      </c>
      <c r="H127" s="12">
        <v>21</v>
      </c>
      <c r="I127" s="12">
        <v>16</v>
      </c>
      <c r="J127" s="12">
        <v>5</v>
      </c>
      <c r="K127" s="14">
        <v>45447</v>
      </c>
      <c r="L127" s="14">
        <v>46598</v>
      </c>
      <c r="M127" s="12">
        <v>1151</v>
      </c>
      <c r="N127" s="12">
        <v>400</v>
      </c>
      <c r="O127" s="12" t="s">
        <v>528</v>
      </c>
      <c r="P127" s="12" t="s">
        <v>28</v>
      </c>
    </row>
    <row r="128" spans="1:16" x14ac:dyDescent="0.3">
      <c r="A128" s="12">
        <v>227</v>
      </c>
      <c r="B128" s="12" t="s">
        <v>529</v>
      </c>
      <c r="C128" s="12" t="s">
        <v>530</v>
      </c>
      <c r="D128" s="12" t="s">
        <v>526</v>
      </c>
      <c r="E128" s="12" t="s">
        <v>531</v>
      </c>
      <c r="F128" s="12">
        <v>227</v>
      </c>
      <c r="G128" s="12" t="s">
        <v>32</v>
      </c>
      <c r="H128" s="12">
        <v>20</v>
      </c>
      <c r="I128" s="12">
        <v>17</v>
      </c>
      <c r="J128" s="12">
        <v>3</v>
      </c>
      <c r="K128" s="14">
        <v>45448</v>
      </c>
      <c r="L128" s="14">
        <v>46603</v>
      </c>
      <c r="M128" s="12">
        <v>1155</v>
      </c>
      <c r="N128" s="12">
        <v>420</v>
      </c>
      <c r="O128" s="12" t="s">
        <v>532</v>
      </c>
      <c r="P128" s="12" t="s">
        <v>28</v>
      </c>
    </row>
    <row r="129" spans="1:16" x14ac:dyDescent="0.3">
      <c r="A129" s="12">
        <v>228</v>
      </c>
      <c r="B129" s="12" t="s">
        <v>533</v>
      </c>
      <c r="C129" s="12" t="s">
        <v>534</v>
      </c>
      <c r="D129" s="12" t="s">
        <v>526</v>
      </c>
      <c r="E129" s="12" t="s">
        <v>535</v>
      </c>
      <c r="F129" s="12">
        <v>334</v>
      </c>
      <c r="G129" s="12" t="s">
        <v>20</v>
      </c>
      <c r="H129" s="12">
        <v>19</v>
      </c>
      <c r="I129" s="12">
        <v>2</v>
      </c>
      <c r="J129" s="12">
        <v>17</v>
      </c>
      <c r="K129" s="14">
        <v>45449</v>
      </c>
      <c r="L129" s="14">
        <v>46617</v>
      </c>
      <c r="M129" s="12">
        <v>1168</v>
      </c>
      <c r="N129" s="12">
        <v>440</v>
      </c>
      <c r="O129" s="12" t="s">
        <v>536</v>
      </c>
      <c r="P129" s="12" t="s">
        <v>28</v>
      </c>
    </row>
    <row r="130" spans="1:16" x14ac:dyDescent="0.3">
      <c r="A130" s="12">
        <v>229</v>
      </c>
      <c r="B130" s="12" t="s">
        <v>537</v>
      </c>
      <c r="C130" s="12" t="s">
        <v>538</v>
      </c>
      <c r="D130" s="12" t="s">
        <v>526</v>
      </c>
      <c r="E130" s="12" t="s">
        <v>539</v>
      </c>
      <c r="F130" s="12">
        <v>400</v>
      </c>
      <c r="G130" s="12" t="s">
        <v>32</v>
      </c>
      <c r="H130" s="12">
        <v>18</v>
      </c>
      <c r="I130" s="12">
        <v>17</v>
      </c>
      <c r="J130" s="12">
        <v>1</v>
      </c>
      <c r="K130" s="14">
        <v>45450</v>
      </c>
      <c r="L130" s="14">
        <v>46628</v>
      </c>
      <c r="M130" s="12">
        <v>1178</v>
      </c>
      <c r="N130" s="12">
        <v>460</v>
      </c>
      <c r="O130" s="12" t="s">
        <v>540</v>
      </c>
      <c r="P130" s="12" t="s">
        <v>34</v>
      </c>
    </row>
    <row r="131" spans="1:16" x14ac:dyDescent="0.3">
      <c r="A131" s="12">
        <v>230</v>
      </c>
      <c r="B131" s="12" t="s">
        <v>541</v>
      </c>
      <c r="C131" s="12" t="s">
        <v>542</v>
      </c>
      <c r="D131" s="12" t="s">
        <v>526</v>
      </c>
      <c r="E131" s="12" t="s">
        <v>543</v>
      </c>
      <c r="F131" s="12">
        <v>979</v>
      </c>
      <c r="G131" s="12" t="s">
        <v>26</v>
      </c>
      <c r="H131" s="12">
        <v>17</v>
      </c>
      <c r="I131" s="12">
        <v>1</v>
      </c>
      <c r="J131" s="12">
        <v>16</v>
      </c>
      <c r="K131" s="14">
        <v>45451</v>
      </c>
      <c r="L131" s="14">
        <v>46635</v>
      </c>
      <c r="M131" s="12">
        <v>1184</v>
      </c>
      <c r="N131" s="12">
        <v>480</v>
      </c>
      <c r="O131" s="12" t="s">
        <v>544</v>
      </c>
      <c r="P131" s="12" t="s">
        <v>28</v>
      </c>
    </row>
    <row r="132" spans="1:16" x14ac:dyDescent="0.3">
      <c r="A132" s="12">
        <v>231</v>
      </c>
      <c r="B132" s="12" t="s">
        <v>545</v>
      </c>
      <c r="C132" s="12" t="s">
        <v>546</v>
      </c>
      <c r="D132" s="12" t="s">
        <v>526</v>
      </c>
      <c r="E132" s="12" t="s">
        <v>547</v>
      </c>
      <c r="F132" s="12">
        <v>232</v>
      </c>
      <c r="G132" s="12" t="s">
        <v>20</v>
      </c>
      <c r="H132" s="12">
        <v>16</v>
      </c>
      <c r="I132" s="12">
        <v>1</v>
      </c>
      <c r="J132" s="12">
        <v>15</v>
      </c>
      <c r="K132" s="14">
        <v>45452</v>
      </c>
      <c r="L132" s="14">
        <v>46647</v>
      </c>
      <c r="M132" s="12">
        <v>1195</v>
      </c>
      <c r="N132" s="12">
        <v>100</v>
      </c>
      <c r="O132" s="12" t="s">
        <v>548</v>
      </c>
      <c r="P132" s="12" t="s">
        <v>34</v>
      </c>
    </row>
    <row r="133" spans="1:16" x14ac:dyDescent="0.3">
      <c r="A133" s="12">
        <v>232</v>
      </c>
      <c r="B133" s="12" t="s">
        <v>549</v>
      </c>
      <c r="C133" s="12" t="s">
        <v>550</v>
      </c>
      <c r="D133" s="12" t="s">
        <v>526</v>
      </c>
      <c r="E133" s="12" t="s">
        <v>551</v>
      </c>
      <c r="F133" s="12">
        <v>247</v>
      </c>
      <c r="G133" s="12" t="s">
        <v>26</v>
      </c>
      <c r="H133" s="12">
        <v>15</v>
      </c>
      <c r="I133" s="12">
        <v>2</v>
      </c>
      <c r="J133" s="12">
        <v>13</v>
      </c>
      <c r="K133" s="14">
        <v>45453</v>
      </c>
      <c r="L133" s="14">
        <v>46660</v>
      </c>
      <c r="M133" s="12">
        <v>1207</v>
      </c>
      <c r="N133" s="12">
        <v>120</v>
      </c>
      <c r="O133" s="12" t="s">
        <v>552</v>
      </c>
      <c r="P133" s="12" t="s">
        <v>34</v>
      </c>
    </row>
    <row r="134" spans="1:16" x14ac:dyDescent="0.3">
      <c r="A134" s="12">
        <v>233</v>
      </c>
      <c r="B134" s="12" t="s">
        <v>553</v>
      </c>
      <c r="C134" s="12" t="s">
        <v>554</v>
      </c>
      <c r="D134" s="12" t="s">
        <v>526</v>
      </c>
      <c r="E134" s="12" t="s">
        <v>555</v>
      </c>
      <c r="F134" s="12">
        <v>702</v>
      </c>
      <c r="G134" s="12" t="s">
        <v>38</v>
      </c>
      <c r="H134" s="12">
        <v>14</v>
      </c>
      <c r="I134" s="12">
        <v>3</v>
      </c>
      <c r="J134" s="12">
        <v>11</v>
      </c>
      <c r="K134" s="14">
        <v>45454</v>
      </c>
      <c r="L134" s="14">
        <v>46663</v>
      </c>
      <c r="M134" s="12">
        <v>1209</v>
      </c>
      <c r="N134" s="12">
        <v>140</v>
      </c>
      <c r="O134" s="12" t="s">
        <v>556</v>
      </c>
      <c r="P134" s="12" t="s">
        <v>34</v>
      </c>
    </row>
    <row r="135" spans="1:16" x14ac:dyDescent="0.3">
      <c r="A135" s="12">
        <v>234</v>
      </c>
      <c r="B135" s="12" t="s">
        <v>557</v>
      </c>
      <c r="C135" s="12" t="s">
        <v>558</v>
      </c>
      <c r="D135" s="12" t="s">
        <v>526</v>
      </c>
      <c r="E135" s="12" t="s">
        <v>559</v>
      </c>
      <c r="F135" s="12">
        <v>606</v>
      </c>
      <c r="G135" s="12" t="s">
        <v>20</v>
      </c>
      <c r="H135" s="12">
        <v>13</v>
      </c>
      <c r="I135" s="12">
        <v>4</v>
      </c>
      <c r="J135" s="12">
        <v>9</v>
      </c>
      <c r="K135" s="14">
        <v>45455</v>
      </c>
      <c r="L135" s="14">
        <v>46676</v>
      </c>
      <c r="M135" s="12">
        <v>1221</v>
      </c>
      <c r="N135" s="12">
        <v>160</v>
      </c>
      <c r="O135" s="12" t="s">
        <v>560</v>
      </c>
      <c r="P135" s="12" t="s">
        <v>34</v>
      </c>
    </row>
    <row r="136" spans="1:16" x14ac:dyDescent="0.3">
      <c r="A136" s="12">
        <v>235</v>
      </c>
      <c r="B136" s="12" t="s">
        <v>561</v>
      </c>
      <c r="C136" s="12" t="s">
        <v>562</v>
      </c>
      <c r="D136" s="12" t="s">
        <v>526</v>
      </c>
      <c r="E136" s="12" t="s">
        <v>563</v>
      </c>
      <c r="F136" s="12">
        <v>773</v>
      </c>
      <c r="G136" s="12" t="s">
        <v>38</v>
      </c>
      <c r="H136" s="12">
        <v>12</v>
      </c>
      <c r="I136" s="12">
        <v>5</v>
      </c>
      <c r="J136" s="12">
        <v>7</v>
      </c>
      <c r="K136" s="14">
        <v>45456</v>
      </c>
      <c r="L136" s="14">
        <v>46688</v>
      </c>
      <c r="M136" s="12">
        <v>1232</v>
      </c>
      <c r="N136" s="12">
        <v>180</v>
      </c>
      <c r="O136" s="12" t="s">
        <v>564</v>
      </c>
      <c r="P136" s="12" t="s">
        <v>28</v>
      </c>
    </row>
    <row r="137" spans="1:16" x14ac:dyDescent="0.3">
      <c r="A137" s="12">
        <v>236</v>
      </c>
      <c r="B137" s="12" t="s">
        <v>565</v>
      </c>
      <c r="C137" s="12" t="s">
        <v>566</v>
      </c>
      <c r="D137" s="12" t="s">
        <v>567</v>
      </c>
      <c r="E137" s="12" t="s">
        <v>568</v>
      </c>
      <c r="F137" s="12">
        <v>927</v>
      </c>
      <c r="G137" s="12" t="s">
        <v>32</v>
      </c>
      <c r="H137" s="12">
        <v>11</v>
      </c>
      <c r="I137" s="12">
        <v>6</v>
      </c>
      <c r="J137" s="12">
        <v>5</v>
      </c>
      <c r="K137" s="14">
        <v>45457</v>
      </c>
      <c r="L137" s="14">
        <v>46695</v>
      </c>
      <c r="M137" s="12">
        <v>1238</v>
      </c>
      <c r="N137" s="12">
        <v>200</v>
      </c>
      <c r="O137" s="12" t="s">
        <v>569</v>
      </c>
      <c r="P137" s="12" t="s">
        <v>28</v>
      </c>
    </row>
    <row r="138" spans="1:16" x14ac:dyDescent="0.3">
      <c r="A138" s="12">
        <v>237</v>
      </c>
      <c r="B138" s="12" t="s">
        <v>570</v>
      </c>
      <c r="C138" s="12" t="s">
        <v>571</v>
      </c>
      <c r="D138" s="12" t="s">
        <v>567</v>
      </c>
      <c r="E138" s="12" t="s">
        <v>572</v>
      </c>
      <c r="F138" s="12">
        <v>298</v>
      </c>
      <c r="G138" s="12" t="s">
        <v>32</v>
      </c>
      <c r="H138" s="12">
        <v>10</v>
      </c>
      <c r="I138" s="12">
        <v>7</v>
      </c>
      <c r="J138" s="12">
        <v>3</v>
      </c>
      <c r="K138" s="14">
        <v>45458</v>
      </c>
      <c r="L138" s="14">
        <v>46708</v>
      </c>
      <c r="M138" s="12">
        <v>1250</v>
      </c>
      <c r="N138" s="12">
        <v>220</v>
      </c>
      <c r="O138" s="12" t="s">
        <v>573</v>
      </c>
      <c r="P138" s="12" t="s">
        <v>28</v>
      </c>
    </row>
    <row r="139" spans="1:16" x14ac:dyDescent="0.3">
      <c r="A139" s="12">
        <v>238</v>
      </c>
      <c r="B139" s="12" t="s">
        <v>574</v>
      </c>
      <c r="C139" s="12" t="s">
        <v>575</v>
      </c>
      <c r="D139" s="12" t="s">
        <v>567</v>
      </c>
      <c r="E139" s="12" t="s">
        <v>576</v>
      </c>
      <c r="F139" s="12">
        <v>883</v>
      </c>
      <c r="G139" s="12" t="s">
        <v>20</v>
      </c>
      <c r="H139" s="12">
        <v>9</v>
      </c>
      <c r="I139" s="12">
        <v>8</v>
      </c>
      <c r="J139" s="12">
        <v>1</v>
      </c>
      <c r="K139" s="14">
        <v>45459</v>
      </c>
      <c r="L139" s="14">
        <v>46720</v>
      </c>
      <c r="M139" s="12">
        <v>1261</v>
      </c>
      <c r="N139" s="12">
        <v>240</v>
      </c>
      <c r="O139" s="12" t="s">
        <v>577</v>
      </c>
      <c r="P139" s="12" t="s">
        <v>34</v>
      </c>
    </row>
    <row r="140" spans="1:16" x14ac:dyDescent="0.3">
      <c r="A140" s="12">
        <v>239</v>
      </c>
      <c r="B140" s="12" t="s">
        <v>578</v>
      </c>
      <c r="C140" s="12" t="s">
        <v>579</v>
      </c>
      <c r="D140" s="12" t="s">
        <v>567</v>
      </c>
      <c r="E140" s="12" t="s">
        <v>580</v>
      </c>
      <c r="F140" s="12">
        <v>925</v>
      </c>
      <c r="G140" s="12" t="s">
        <v>20</v>
      </c>
      <c r="H140" s="12">
        <v>9</v>
      </c>
      <c r="I140" s="12">
        <v>8</v>
      </c>
      <c r="J140" s="12">
        <v>1</v>
      </c>
      <c r="K140" s="14">
        <v>45460</v>
      </c>
      <c r="L140" s="14">
        <v>46726</v>
      </c>
      <c r="M140" s="12">
        <v>1266</v>
      </c>
      <c r="N140" s="12">
        <v>260</v>
      </c>
      <c r="O140" s="12" t="s">
        <v>581</v>
      </c>
      <c r="P140" s="12" t="s">
        <v>22</v>
      </c>
    </row>
    <row r="141" spans="1:16" x14ac:dyDescent="0.3">
      <c r="A141" s="12">
        <v>240</v>
      </c>
      <c r="B141" s="12" t="s">
        <v>582</v>
      </c>
      <c r="C141" s="12" t="s">
        <v>583</v>
      </c>
      <c r="D141" s="12" t="s">
        <v>567</v>
      </c>
      <c r="E141" s="12" t="s">
        <v>584</v>
      </c>
      <c r="F141" s="12">
        <v>746</v>
      </c>
      <c r="G141" s="12" t="s">
        <v>26</v>
      </c>
      <c r="H141" s="12">
        <v>10</v>
      </c>
      <c r="I141" s="12">
        <v>7</v>
      </c>
      <c r="J141" s="12">
        <v>3</v>
      </c>
      <c r="K141" s="14">
        <v>45461</v>
      </c>
      <c r="L141" s="14">
        <v>46739</v>
      </c>
      <c r="M141" s="12">
        <v>1278</v>
      </c>
      <c r="N141" s="12">
        <v>280</v>
      </c>
      <c r="O141" s="12" t="s">
        <v>585</v>
      </c>
      <c r="P141" s="12" t="s">
        <v>28</v>
      </c>
    </row>
    <row r="142" spans="1:16" x14ac:dyDescent="0.3">
      <c r="A142" s="12">
        <v>241</v>
      </c>
      <c r="B142" s="12" t="s">
        <v>586</v>
      </c>
      <c r="C142" s="12" t="s">
        <v>587</v>
      </c>
      <c r="D142" s="12" t="s">
        <v>567</v>
      </c>
      <c r="E142" s="12" t="s">
        <v>588</v>
      </c>
      <c r="F142" s="12">
        <v>938</v>
      </c>
      <c r="G142" s="12" t="s">
        <v>26</v>
      </c>
      <c r="H142" s="12">
        <v>11</v>
      </c>
      <c r="I142" s="12">
        <v>6</v>
      </c>
      <c r="J142" s="12">
        <v>5</v>
      </c>
      <c r="K142" s="14">
        <v>45462</v>
      </c>
      <c r="L142" s="14">
        <v>46751</v>
      </c>
      <c r="M142" s="12">
        <v>1289</v>
      </c>
      <c r="N142" s="12">
        <v>300</v>
      </c>
      <c r="O142" s="12" t="s">
        <v>589</v>
      </c>
      <c r="P142" s="12" t="s">
        <v>28</v>
      </c>
    </row>
    <row r="143" spans="1:16" x14ac:dyDescent="0.3">
      <c r="A143" s="12">
        <v>242</v>
      </c>
      <c r="B143" s="12" t="s">
        <v>590</v>
      </c>
      <c r="C143" s="12" t="s">
        <v>591</v>
      </c>
      <c r="D143" s="12" t="s">
        <v>567</v>
      </c>
      <c r="E143" s="12" t="s">
        <v>592</v>
      </c>
      <c r="F143" s="12">
        <v>812</v>
      </c>
      <c r="G143" s="12" t="s">
        <v>38</v>
      </c>
      <c r="H143" s="12">
        <v>12</v>
      </c>
      <c r="I143" s="12">
        <v>5</v>
      </c>
      <c r="J143" s="12">
        <v>7</v>
      </c>
      <c r="K143" s="14">
        <v>45463</v>
      </c>
      <c r="L143" s="14">
        <v>46756</v>
      </c>
      <c r="M143" s="12">
        <v>1293</v>
      </c>
      <c r="N143" s="12">
        <v>320</v>
      </c>
      <c r="O143" s="12" t="s">
        <v>593</v>
      </c>
      <c r="P143" s="12" t="s">
        <v>22</v>
      </c>
    </row>
    <row r="144" spans="1:16" x14ac:dyDescent="0.3">
      <c r="A144" s="12">
        <v>243</v>
      </c>
      <c r="B144" s="12" t="s">
        <v>594</v>
      </c>
      <c r="C144" s="12" t="s">
        <v>595</v>
      </c>
      <c r="D144" s="12" t="s">
        <v>567</v>
      </c>
      <c r="E144" s="12" t="s">
        <v>596</v>
      </c>
      <c r="F144" s="12">
        <v>661</v>
      </c>
      <c r="G144" s="12" t="s">
        <v>20</v>
      </c>
      <c r="H144" s="12">
        <v>13</v>
      </c>
      <c r="I144" s="12">
        <v>4</v>
      </c>
      <c r="J144" s="12">
        <v>9</v>
      </c>
      <c r="K144" s="14">
        <v>45464</v>
      </c>
      <c r="L144" s="14">
        <v>46768</v>
      </c>
      <c r="M144" s="12">
        <v>1304</v>
      </c>
      <c r="N144" s="12">
        <v>340</v>
      </c>
      <c r="O144" s="12" t="s">
        <v>597</v>
      </c>
      <c r="P144" s="12" t="s">
        <v>107</v>
      </c>
    </row>
    <row r="145" spans="1:16" x14ac:dyDescent="0.3">
      <c r="A145" s="12">
        <v>244</v>
      </c>
      <c r="B145" s="12" t="s">
        <v>598</v>
      </c>
      <c r="C145" s="12" t="s">
        <v>599</v>
      </c>
      <c r="D145" s="12" t="s">
        <v>567</v>
      </c>
      <c r="E145" s="12" t="s">
        <v>600</v>
      </c>
      <c r="F145" s="12">
        <v>842</v>
      </c>
      <c r="G145" s="12" t="s">
        <v>32</v>
      </c>
      <c r="H145" s="12">
        <v>14</v>
      </c>
      <c r="I145" s="12">
        <v>3</v>
      </c>
      <c r="J145" s="12">
        <v>11</v>
      </c>
      <c r="K145" s="14">
        <v>45465</v>
      </c>
      <c r="L145" s="14">
        <v>46780</v>
      </c>
      <c r="M145" s="12">
        <v>1315</v>
      </c>
      <c r="N145" s="12">
        <v>360</v>
      </c>
      <c r="O145" s="12" t="s">
        <v>601</v>
      </c>
      <c r="P145" s="12" t="s">
        <v>34</v>
      </c>
    </row>
    <row r="146" spans="1:16" x14ac:dyDescent="0.3">
      <c r="A146" s="12">
        <v>245</v>
      </c>
      <c r="B146" s="12" t="s">
        <v>602</v>
      </c>
      <c r="C146" s="12" t="s">
        <v>603</v>
      </c>
      <c r="D146" s="12" t="s">
        <v>567</v>
      </c>
      <c r="E146" s="12" t="s">
        <v>604</v>
      </c>
      <c r="F146" s="12">
        <v>968</v>
      </c>
      <c r="G146" s="12" t="s">
        <v>26</v>
      </c>
      <c r="H146" s="12">
        <v>15</v>
      </c>
      <c r="I146" s="12">
        <v>2</v>
      </c>
      <c r="J146" s="12">
        <v>13</v>
      </c>
      <c r="K146" s="14">
        <v>45466</v>
      </c>
      <c r="L146" s="14">
        <v>46788</v>
      </c>
      <c r="M146" s="12">
        <v>1322</v>
      </c>
      <c r="N146" s="12">
        <v>380</v>
      </c>
      <c r="O146" s="12" t="s">
        <v>605</v>
      </c>
      <c r="P146" s="12" t="s">
        <v>28</v>
      </c>
    </row>
    <row r="147" spans="1:16" x14ac:dyDescent="0.3">
      <c r="A147" s="12">
        <v>246</v>
      </c>
      <c r="B147" s="12" t="s">
        <v>606</v>
      </c>
      <c r="C147" s="12" t="s">
        <v>607</v>
      </c>
      <c r="D147" s="12" t="s">
        <v>608</v>
      </c>
      <c r="E147" s="12" t="s">
        <v>609</v>
      </c>
      <c r="F147" s="12">
        <v>204</v>
      </c>
      <c r="G147" s="12" t="s">
        <v>26</v>
      </c>
      <c r="H147" s="12">
        <v>16</v>
      </c>
      <c r="I147" s="12">
        <v>1</v>
      </c>
      <c r="J147" s="12">
        <v>15</v>
      </c>
      <c r="K147" s="14">
        <v>45467</v>
      </c>
      <c r="L147" s="14">
        <v>46800</v>
      </c>
      <c r="M147" s="12">
        <v>1333</v>
      </c>
      <c r="N147" s="12">
        <v>400</v>
      </c>
      <c r="O147" s="12" t="s">
        <v>610</v>
      </c>
      <c r="P147" s="12" t="s">
        <v>22</v>
      </c>
    </row>
    <row r="148" spans="1:16" x14ac:dyDescent="0.3">
      <c r="A148" s="12">
        <v>247</v>
      </c>
      <c r="B148" s="12" t="s">
        <v>611</v>
      </c>
      <c r="C148" s="12" t="s">
        <v>612</v>
      </c>
      <c r="D148" s="12" t="s">
        <v>608</v>
      </c>
      <c r="E148" s="12" t="s">
        <v>613</v>
      </c>
      <c r="F148" s="12">
        <v>417</v>
      </c>
      <c r="G148" s="12" t="s">
        <v>32</v>
      </c>
      <c r="H148" s="12">
        <v>49</v>
      </c>
      <c r="I148" s="12">
        <v>34</v>
      </c>
      <c r="J148" s="12">
        <v>15</v>
      </c>
      <c r="K148" s="14">
        <v>45468</v>
      </c>
      <c r="L148" s="14">
        <v>46812</v>
      </c>
      <c r="M148" s="12">
        <v>1344</v>
      </c>
      <c r="N148" s="12">
        <v>420</v>
      </c>
      <c r="O148" s="12" t="s">
        <v>614</v>
      </c>
      <c r="P148" s="12" t="s">
        <v>28</v>
      </c>
    </row>
    <row r="149" spans="1:16" x14ac:dyDescent="0.3">
      <c r="A149" s="12">
        <v>248</v>
      </c>
      <c r="B149" s="12" t="s">
        <v>615</v>
      </c>
      <c r="C149" s="12" t="s">
        <v>616</v>
      </c>
      <c r="D149" s="12" t="s">
        <v>608</v>
      </c>
      <c r="E149" s="12" t="s">
        <v>617</v>
      </c>
      <c r="F149" s="12">
        <v>702</v>
      </c>
      <c r="G149" s="12" t="s">
        <v>26</v>
      </c>
      <c r="H149" s="12">
        <v>48</v>
      </c>
      <c r="I149" s="12">
        <v>41</v>
      </c>
      <c r="J149" s="12">
        <v>7</v>
      </c>
      <c r="K149" s="14">
        <v>45469</v>
      </c>
      <c r="L149" s="14">
        <v>46816</v>
      </c>
      <c r="M149" s="12">
        <v>1347</v>
      </c>
      <c r="N149" s="12">
        <v>440</v>
      </c>
      <c r="O149" s="12" t="s">
        <v>74</v>
      </c>
      <c r="P149" s="12" t="s">
        <v>34</v>
      </c>
    </row>
    <row r="150" spans="1:16" x14ac:dyDescent="0.3">
      <c r="A150" s="12">
        <v>249</v>
      </c>
      <c r="B150" s="12" t="s">
        <v>618</v>
      </c>
      <c r="C150" s="12" t="s">
        <v>619</v>
      </c>
      <c r="D150" s="12" t="s">
        <v>608</v>
      </c>
      <c r="E150" s="12" t="s">
        <v>620</v>
      </c>
      <c r="F150" s="12">
        <v>966</v>
      </c>
      <c r="G150" s="12" t="s">
        <v>38</v>
      </c>
      <c r="H150" s="12">
        <v>47</v>
      </c>
      <c r="I150" s="12">
        <v>32</v>
      </c>
      <c r="J150" s="12">
        <v>15</v>
      </c>
      <c r="K150" s="14">
        <v>45470</v>
      </c>
      <c r="L150" s="14">
        <v>46828</v>
      </c>
      <c r="M150" s="12">
        <v>1358</v>
      </c>
      <c r="N150" s="12">
        <v>460</v>
      </c>
      <c r="O150" s="12" t="s">
        <v>621</v>
      </c>
      <c r="P150" s="12" t="s">
        <v>28</v>
      </c>
    </row>
    <row r="151" spans="1:16" x14ac:dyDescent="0.3">
      <c r="A151" s="12">
        <v>250</v>
      </c>
      <c r="B151" s="12" t="s">
        <v>622</v>
      </c>
      <c r="C151" s="12" t="s">
        <v>623</v>
      </c>
      <c r="D151" s="12" t="s">
        <v>608</v>
      </c>
      <c r="E151" s="12" t="s">
        <v>624</v>
      </c>
      <c r="F151" s="12">
        <v>597</v>
      </c>
      <c r="G151" s="12" t="s">
        <v>20</v>
      </c>
      <c r="H151" s="12">
        <v>46</v>
      </c>
      <c r="I151" s="12">
        <v>35</v>
      </c>
      <c r="J151" s="12">
        <v>11</v>
      </c>
      <c r="K151" s="14">
        <v>45471</v>
      </c>
      <c r="L151" s="14">
        <v>46840</v>
      </c>
      <c r="M151" s="12">
        <v>1369</v>
      </c>
      <c r="N151" s="12">
        <v>480</v>
      </c>
      <c r="O151" s="12" t="s">
        <v>625</v>
      </c>
      <c r="P151" s="12" t="s">
        <v>22</v>
      </c>
    </row>
    <row r="152" spans="1:16" x14ac:dyDescent="0.3">
      <c r="A152" s="12">
        <v>251</v>
      </c>
      <c r="B152" s="12" t="s">
        <v>626</v>
      </c>
      <c r="C152" s="12" t="s">
        <v>627</v>
      </c>
      <c r="D152" s="12" t="s">
        <v>606</v>
      </c>
      <c r="E152" s="12" t="s">
        <v>628</v>
      </c>
      <c r="F152" s="12">
        <v>994</v>
      </c>
      <c r="G152" s="12" t="s">
        <v>32</v>
      </c>
      <c r="H152" s="12">
        <v>45</v>
      </c>
      <c r="I152" s="12">
        <v>30</v>
      </c>
      <c r="J152" s="12">
        <v>15</v>
      </c>
      <c r="K152" s="14">
        <v>45472</v>
      </c>
      <c r="L152" s="14">
        <v>46846</v>
      </c>
      <c r="M152" s="12">
        <v>1374</v>
      </c>
      <c r="N152" s="12">
        <v>800</v>
      </c>
      <c r="O152" s="12" t="s">
        <v>629</v>
      </c>
      <c r="P152" s="12" t="s">
        <v>28</v>
      </c>
    </row>
    <row r="153" spans="1:16" x14ac:dyDescent="0.3">
      <c r="A153" s="12">
        <v>252</v>
      </c>
      <c r="B153" s="12" t="s">
        <v>630</v>
      </c>
      <c r="C153" s="12" t="s">
        <v>631</v>
      </c>
      <c r="D153" s="12" t="s">
        <v>606</v>
      </c>
      <c r="E153" s="12" t="s">
        <v>632</v>
      </c>
      <c r="F153" s="12">
        <v>592</v>
      </c>
      <c r="G153" s="12" t="s">
        <v>20</v>
      </c>
      <c r="H153" s="12">
        <v>44</v>
      </c>
      <c r="I153" s="12">
        <v>25</v>
      </c>
      <c r="J153" s="12">
        <v>19</v>
      </c>
      <c r="K153" s="14">
        <v>45473</v>
      </c>
      <c r="L153" s="14">
        <v>46858</v>
      </c>
      <c r="M153" s="12">
        <v>1385</v>
      </c>
      <c r="N153" s="12">
        <v>100</v>
      </c>
      <c r="O153" s="12" t="s">
        <v>633</v>
      </c>
      <c r="P153" s="12" t="s">
        <v>28</v>
      </c>
    </row>
    <row r="154" spans="1:16" x14ac:dyDescent="0.3">
      <c r="A154" s="12">
        <v>253</v>
      </c>
      <c r="B154" s="12" t="s">
        <v>634</v>
      </c>
      <c r="C154" s="12" t="s">
        <v>635</v>
      </c>
      <c r="D154" s="12" t="s">
        <v>606</v>
      </c>
      <c r="E154" s="12" t="s">
        <v>636</v>
      </c>
      <c r="F154" s="12">
        <v>406</v>
      </c>
      <c r="G154" s="12" t="s">
        <v>26</v>
      </c>
      <c r="H154" s="12">
        <v>43</v>
      </c>
      <c r="I154" s="12">
        <v>28</v>
      </c>
      <c r="J154" s="12">
        <v>15</v>
      </c>
      <c r="K154" s="14">
        <v>45474</v>
      </c>
      <c r="L154" s="14">
        <v>46872</v>
      </c>
      <c r="M154" s="12">
        <v>1398</v>
      </c>
      <c r="N154" s="12">
        <v>120</v>
      </c>
      <c r="O154" s="12" t="s">
        <v>637</v>
      </c>
      <c r="P154" s="12" t="s">
        <v>22</v>
      </c>
    </row>
    <row r="155" spans="1:16" x14ac:dyDescent="0.3">
      <c r="A155" s="12">
        <v>254</v>
      </c>
      <c r="B155" s="12" t="s">
        <v>638</v>
      </c>
      <c r="C155" s="12" t="s">
        <v>639</v>
      </c>
      <c r="D155" s="12" t="s">
        <v>606</v>
      </c>
      <c r="E155" s="12" t="s">
        <v>640</v>
      </c>
      <c r="F155" s="12">
        <v>214</v>
      </c>
      <c r="G155" s="12" t="s">
        <v>26</v>
      </c>
      <c r="H155" s="12">
        <v>42</v>
      </c>
      <c r="I155" s="12">
        <v>27</v>
      </c>
      <c r="J155" s="12">
        <v>15</v>
      </c>
      <c r="K155" s="14">
        <v>45475</v>
      </c>
      <c r="L155" s="14">
        <v>46877</v>
      </c>
      <c r="M155" s="12">
        <v>1402</v>
      </c>
      <c r="N155" s="12">
        <v>140</v>
      </c>
      <c r="O155" s="12" t="s">
        <v>641</v>
      </c>
      <c r="P155" s="12" t="s">
        <v>34</v>
      </c>
    </row>
    <row r="156" spans="1:16" x14ac:dyDescent="0.3">
      <c r="A156" s="12">
        <v>255</v>
      </c>
      <c r="B156" s="12" t="s">
        <v>642</v>
      </c>
      <c r="C156" s="12" t="s">
        <v>643</v>
      </c>
      <c r="D156" s="12" t="s">
        <v>606</v>
      </c>
      <c r="E156" s="12" t="s">
        <v>644</v>
      </c>
      <c r="F156" s="12">
        <v>753</v>
      </c>
      <c r="G156" s="12" t="s">
        <v>32</v>
      </c>
      <c r="H156" s="12">
        <v>41</v>
      </c>
      <c r="I156" s="12">
        <v>35</v>
      </c>
      <c r="J156" s="12">
        <v>6</v>
      </c>
      <c r="K156" s="14">
        <v>45476</v>
      </c>
      <c r="L156" s="14">
        <v>46891</v>
      </c>
      <c r="M156" s="12">
        <v>1415</v>
      </c>
      <c r="N156" s="12">
        <v>160</v>
      </c>
      <c r="O156" s="12" t="s">
        <v>645</v>
      </c>
      <c r="P156" s="12" t="s">
        <v>34</v>
      </c>
    </row>
    <row r="157" spans="1:16" x14ac:dyDescent="0.3">
      <c r="A157" s="12">
        <v>256</v>
      </c>
      <c r="B157" s="12" t="s">
        <v>646</v>
      </c>
      <c r="C157" s="12" t="s">
        <v>647</v>
      </c>
      <c r="D157" s="12" t="s">
        <v>622</v>
      </c>
      <c r="E157" s="12" t="s">
        <v>648</v>
      </c>
      <c r="F157" s="12">
        <v>660</v>
      </c>
      <c r="G157" s="12" t="s">
        <v>38</v>
      </c>
      <c r="H157" s="12">
        <v>40</v>
      </c>
      <c r="I157" s="12">
        <v>25</v>
      </c>
      <c r="J157" s="12">
        <v>15</v>
      </c>
      <c r="K157" s="14">
        <v>45477</v>
      </c>
      <c r="L157" s="14">
        <v>46903</v>
      </c>
      <c r="M157" s="12">
        <v>1426</v>
      </c>
      <c r="N157" s="12">
        <v>180</v>
      </c>
      <c r="O157" s="12" t="s">
        <v>649</v>
      </c>
      <c r="P157" s="12" t="s">
        <v>28</v>
      </c>
    </row>
    <row r="158" spans="1:16" x14ac:dyDescent="0.3">
      <c r="A158" s="12">
        <v>257</v>
      </c>
      <c r="B158" s="12" t="s">
        <v>650</v>
      </c>
      <c r="C158" s="12" t="s">
        <v>651</v>
      </c>
      <c r="D158" s="12" t="s">
        <v>622</v>
      </c>
      <c r="E158" s="12" t="s">
        <v>652</v>
      </c>
      <c r="F158" s="12">
        <v>890</v>
      </c>
      <c r="G158" s="12" t="s">
        <v>65</v>
      </c>
      <c r="H158" s="12">
        <v>39</v>
      </c>
      <c r="I158" s="12">
        <v>24</v>
      </c>
      <c r="J158" s="12">
        <v>15</v>
      </c>
      <c r="K158" s="14">
        <v>45478</v>
      </c>
      <c r="L158" s="14">
        <v>46906</v>
      </c>
      <c r="M158" s="12">
        <v>1428</v>
      </c>
      <c r="N158" s="12">
        <v>200</v>
      </c>
      <c r="O158" s="12" t="s">
        <v>653</v>
      </c>
      <c r="P158" s="12" t="s">
        <v>22</v>
      </c>
    </row>
    <row r="159" spans="1:16" x14ac:dyDescent="0.3">
      <c r="A159" s="12">
        <v>258</v>
      </c>
      <c r="B159" s="12" t="s">
        <v>654</v>
      </c>
      <c r="C159" s="12" t="s">
        <v>655</v>
      </c>
      <c r="D159" s="12" t="s">
        <v>630</v>
      </c>
      <c r="E159" s="12" t="s">
        <v>656</v>
      </c>
      <c r="F159" s="12">
        <v>774</v>
      </c>
      <c r="G159" s="12" t="s">
        <v>32</v>
      </c>
      <c r="H159" s="12">
        <v>38</v>
      </c>
      <c r="I159" s="12">
        <v>34</v>
      </c>
      <c r="J159" s="12">
        <v>4</v>
      </c>
      <c r="K159" s="14">
        <v>45479</v>
      </c>
      <c r="L159" s="14">
        <v>46920</v>
      </c>
      <c r="M159" s="12">
        <v>1441</v>
      </c>
      <c r="N159" s="12">
        <v>220</v>
      </c>
      <c r="O159" s="12" t="s">
        <v>657</v>
      </c>
      <c r="P159" s="12" t="s">
        <v>28</v>
      </c>
    </row>
    <row r="160" spans="1:16" x14ac:dyDescent="0.3">
      <c r="A160" s="12">
        <v>259</v>
      </c>
      <c r="B160" s="12" t="s">
        <v>658</v>
      </c>
      <c r="C160" s="12" t="s">
        <v>659</v>
      </c>
      <c r="D160" s="12" t="s">
        <v>630</v>
      </c>
      <c r="E160" s="12" t="s">
        <v>660</v>
      </c>
      <c r="F160" s="12">
        <v>942</v>
      </c>
      <c r="G160" s="12" t="s">
        <v>65</v>
      </c>
      <c r="H160" s="12">
        <v>37</v>
      </c>
      <c r="I160" s="12">
        <v>22</v>
      </c>
      <c r="J160" s="12">
        <v>15</v>
      </c>
      <c r="K160" s="14">
        <v>45480</v>
      </c>
      <c r="L160" s="14">
        <v>46932</v>
      </c>
      <c r="M160" s="12">
        <v>1452</v>
      </c>
      <c r="N160" s="12">
        <v>240</v>
      </c>
      <c r="O160" s="12" t="s">
        <v>661</v>
      </c>
      <c r="P160" s="12" t="s">
        <v>28</v>
      </c>
    </row>
    <row r="161" spans="1:16" x14ac:dyDescent="0.3">
      <c r="A161" s="12">
        <v>260</v>
      </c>
      <c r="B161" s="12" t="s">
        <v>662</v>
      </c>
      <c r="C161" s="12" t="s">
        <v>663</v>
      </c>
      <c r="D161" s="12" t="s">
        <v>630</v>
      </c>
      <c r="E161" s="12" t="s">
        <v>664</v>
      </c>
      <c r="F161" s="12">
        <v>440</v>
      </c>
      <c r="G161" s="12" t="s">
        <v>65</v>
      </c>
      <c r="H161" s="12">
        <v>36</v>
      </c>
      <c r="I161" s="12">
        <v>24</v>
      </c>
      <c r="J161" s="12">
        <v>12</v>
      </c>
      <c r="K161" s="14">
        <v>45481</v>
      </c>
      <c r="L161" s="14">
        <v>46937</v>
      </c>
      <c r="M161" s="12">
        <v>1456</v>
      </c>
      <c r="N161" s="12">
        <v>260</v>
      </c>
      <c r="O161" s="12" t="s">
        <v>665</v>
      </c>
      <c r="P161" s="12" t="s">
        <v>28</v>
      </c>
    </row>
    <row r="162" spans="1:16" x14ac:dyDescent="0.3">
      <c r="A162" s="12">
        <v>261</v>
      </c>
      <c r="B162" s="12" t="s">
        <v>666</v>
      </c>
      <c r="C162" s="12" t="s">
        <v>667</v>
      </c>
      <c r="D162" s="12" t="s">
        <v>668</v>
      </c>
      <c r="E162" s="12" t="s">
        <v>669</v>
      </c>
      <c r="F162" s="12">
        <v>763</v>
      </c>
      <c r="G162" s="12" t="s">
        <v>38</v>
      </c>
      <c r="H162" s="12">
        <v>35</v>
      </c>
      <c r="I162" s="12">
        <v>20</v>
      </c>
      <c r="J162" s="12">
        <v>15</v>
      </c>
      <c r="K162" s="14">
        <v>45482</v>
      </c>
      <c r="L162" s="14">
        <v>46951</v>
      </c>
      <c r="M162" s="12">
        <v>1469</v>
      </c>
      <c r="N162" s="12">
        <v>280</v>
      </c>
      <c r="O162" s="12" t="s">
        <v>670</v>
      </c>
      <c r="P162" s="12" t="s">
        <v>28</v>
      </c>
    </row>
    <row r="163" spans="1:16" x14ac:dyDescent="0.3">
      <c r="A163" s="12">
        <v>262</v>
      </c>
      <c r="B163" s="12" t="s">
        <v>671</v>
      </c>
      <c r="C163" s="12" t="s">
        <v>672</v>
      </c>
      <c r="D163" s="12" t="s">
        <v>668</v>
      </c>
      <c r="E163" s="12" t="s">
        <v>673</v>
      </c>
      <c r="F163" s="12">
        <v>295</v>
      </c>
      <c r="G163" s="12" t="s">
        <v>65</v>
      </c>
      <c r="H163" s="12">
        <v>34</v>
      </c>
      <c r="I163" s="12">
        <v>19</v>
      </c>
      <c r="J163" s="12">
        <v>15</v>
      </c>
      <c r="K163" s="14">
        <v>45483</v>
      </c>
      <c r="L163" s="14">
        <v>46964</v>
      </c>
      <c r="M163" s="12">
        <v>1481</v>
      </c>
      <c r="N163" s="12">
        <v>300</v>
      </c>
      <c r="O163" s="12" t="s">
        <v>344</v>
      </c>
      <c r="P163" s="12" t="s">
        <v>28</v>
      </c>
    </row>
    <row r="164" spans="1:16" x14ac:dyDescent="0.3">
      <c r="A164" s="12">
        <v>263</v>
      </c>
      <c r="B164" s="12" t="s">
        <v>674</v>
      </c>
      <c r="C164" s="12" t="s">
        <v>675</v>
      </c>
      <c r="D164" s="12" t="s">
        <v>668</v>
      </c>
      <c r="E164" s="12" t="s">
        <v>676</v>
      </c>
      <c r="F164" s="12">
        <v>933</v>
      </c>
      <c r="G164" s="12" t="s">
        <v>65</v>
      </c>
      <c r="H164" s="12">
        <v>33</v>
      </c>
      <c r="I164" s="12">
        <v>18</v>
      </c>
      <c r="J164" s="12">
        <v>15</v>
      </c>
      <c r="K164" s="14">
        <v>45484</v>
      </c>
      <c r="L164" s="14">
        <v>46969</v>
      </c>
      <c r="M164" s="12">
        <v>1485</v>
      </c>
      <c r="N164" s="12">
        <v>320</v>
      </c>
      <c r="O164" s="12" t="s">
        <v>677</v>
      </c>
      <c r="P164" s="12" t="s">
        <v>22</v>
      </c>
    </row>
    <row r="165" spans="1:16" x14ac:dyDescent="0.3">
      <c r="A165" s="12">
        <v>264</v>
      </c>
      <c r="B165" s="12" t="s">
        <v>678</v>
      </c>
      <c r="C165" s="12" t="s">
        <v>679</v>
      </c>
      <c r="D165" s="12" t="s">
        <v>668</v>
      </c>
      <c r="E165" s="12" t="s">
        <v>680</v>
      </c>
      <c r="F165" s="12">
        <v>684</v>
      </c>
      <c r="G165" s="12" t="s">
        <v>38</v>
      </c>
      <c r="H165" s="12">
        <v>32</v>
      </c>
      <c r="I165" s="12">
        <v>22</v>
      </c>
      <c r="J165" s="12">
        <v>10</v>
      </c>
      <c r="K165" s="14">
        <v>45485</v>
      </c>
      <c r="L165" s="14">
        <v>46983</v>
      </c>
      <c r="M165" s="12">
        <v>1498</v>
      </c>
      <c r="N165" s="12">
        <v>340</v>
      </c>
      <c r="O165" s="12" t="s">
        <v>681</v>
      </c>
      <c r="P165" s="12" t="s">
        <v>28</v>
      </c>
    </row>
    <row r="166" spans="1:16" x14ac:dyDescent="0.3">
      <c r="A166" s="12">
        <v>265</v>
      </c>
      <c r="B166" s="12" t="s">
        <v>682</v>
      </c>
      <c r="C166" s="12" t="s">
        <v>683</v>
      </c>
      <c r="D166" s="12" t="s">
        <v>668</v>
      </c>
      <c r="E166" s="12" t="s">
        <v>684</v>
      </c>
      <c r="F166" s="12">
        <v>606</v>
      </c>
      <c r="G166" s="12" t="s">
        <v>65</v>
      </c>
      <c r="H166" s="12">
        <v>31</v>
      </c>
      <c r="I166" s="12">
        <v>16</v>
      </c>
      <c r="J166" s="12">
        <v>15</v>
      </c>
      <c r="K166" s="14">
        <v>45486</v>
      </c>
      <c r="L166" s="14">
        <v>46994</v>
      </c>
      <c r="M166" s="12">
        <v>1508</v>
      </c>
      <c r="N166" s="12">
        <v>360</v>
      </c>
      <c r="O166" s="12" t="s">
        <v>685</v>
      </c>
      <c r="P166" s="12" t="s">
        <v>28</v>
      </c>
    </row>
    <row r="167" spans="1:16" x14ac:dyDescent="0.3">
      <c r="A167" s="12">
        <v>266</v>
      </c>
      <c r="B167" s="12" t="s">
        <v>686</v>
      </c>
      <c r="C167" s="12" t="s">
        <v>687</v>
      </c>
      <c r="D167" s="12" t="s">
        <v>688</v>
      </c>
      <c r="E167" s="12" t="s">
        <v>689</v>
      </c>
      <c r="F167" s="12">
        <v>430</v>
      </c>
      <c r="G167" s="12" t="s">
        <v>65</v>
      </c>
      <c r="H167" s="12">
        <v>30</v>
      </c>
      <c r="I167" s="12">
        <v>18</v>
      </c>
      <c r="J167" s="12">
        <v>12</v>
      </c>
      <c r="K167" s="14">
        <v>45487</v>
      </c>
      <c r="L167" s="14">
        <v>47001</v>
      </c>
      <c r="M167" s="12">
        <v>1514</v>
      </c>
      <c r="N167" s="12">
        <v>380</v>
      </c>
      <c r="O167" s="12" t="s">
        <v>690</v>
      </c>
      <c r="P167" s="12" t="s">
        <v>28</v>
      </c>
    </row>
    <row r="168" spans="1:16" x14ac:dyDescent="0.3">
      <c r="A168" s="12">
        <v>267</v>
      </c>
      <c r="B168" s="12" t="s">
        <v>691</v>
      </c>
      <c r="C168" s="12" t="s">
        <v>692</v>
      </c>
      <c r="D168" s="12" t="s">
        <v>688</v>
      </c>
      <c r="E168" s="12" t="s">
        <v>693</v>
      </c>
      <c r="F168" s="12">
        <v>948</v>
      </c>
      <c r="G168" s="12" t="s">
        <v>65</v>
      </c>
      <c r="H168" s="12">
        <v>29</v>
      </c>
      <c r="I168" s="12">
        <v>14</v>
      </c>
      <c r="J168" s="12">
        <v>15</v>
      </c>
      <c r="K168" s="14">
        <v>45488</v>
      </c>
      <c r="L168" s="14">
        <v>47013</v>
      </c>
      <c r="M168" s="12">
        <v>1525</v>
      </c>
      <c r="N168" s="12">
        <v>400</v>
      </c>
      <c r="O168" s="12" t="s">
        <v>694</v>
      </c>
      <c r="P168" s="12" t="s">
        <v>28</v>
      </c>
    </row>
    <row r="169" spans="1:16" x14ac:dyDescent="0.3">
      <c r="A169" s="12">
        <v>268</v>
      </c>
      <c r="B169" s="12" t="s">
        <v>695</v>
      </c>
      <c r="C169" s="12" t="s">
        <v>696</v>
      </c>
      <c r="D169" s="12" t="s">
        <v>688</v>
      </c>
      <c r="E169" s="12" t="s">
        <v>697</v>
      </c>
      <c r="F169" s="12">
        <v>854</v>
      </c>
      <c r="G169" s="12" t="s">
        <v>32</v>
      </c>
      <c r="H169" s="12">
        <v>28</v>
      </c>
      <c r="I169" s="12">
        <v>22</v>
      </c>
      <c r="J169" s="12">
        <v>6</v>
      </c>
      <c r="K169" s="14">
        <v>45489</v>
      </c>
      <c r="L169" s="14">
        <v>47026</v>
      </c>
      <c r="M169" s="12">
        <v>1537</v>
      </c>
      <c r="N169" s="12">
        <v>420</v>
      </c>
      <c r="O169" s="12" t="s">
        <v>698</v>
      </c>
      <c r="P169" s="12" t="s">
        <v>28</v>
      </c>
    </row>
    <row r="170" spans="1:16" x14ac:dyDescent="0.3">
      <c r="A170" s="12">
        <v>269</v>
      </c>
      <c r="B170" s="12" t="s">
        <v>699</v>
      </c>
      <c r="C170" s="12" t="s">
        <v>700</v>
      </c>
      <c r="D170" s="12" t="s">
        <v>688</v>
      </c>
      <c r="E170" s="12" t="s">
        <v>701</v>
      </c>
      <c r="F170" s="12">
        <v>370</v>
      </c>
      <c r="G170" s="12" t="s">
        <v>32</v>
      </c>
      <c r="H170" s="12">
        <v>27</v>
      </c>
      <c r="I170" s="12">
        <v>12</v>
      </c>
      <c r="J170" s="12">
        <v>15</v>
      </c>
      <c r="K170" s="14">
        <v>45490</v>
      </c>
      <c r="L170" s="14">
        <v>47029</v>
      </c>
      <c r="M170" s="12">
        <v>1539</v>
      </c>
      <c r="N170" s="12">
        <v>440</v>
      </c>
      <c r="O170" s="12" t="s">
        <v>702</v>
      </c>
      <c r="P170" s="12" t="s">
        <v>28</v>
      </c>
    </row>
    <row r="171" spans="1:16" x14ac:dyDescent="0.3">
      <c r="A171" s="12">
        <v>270</v>
      </c>
      <c r="B171" s="12" t="s">
        <v>703</v>
      </c>
      <c r="C171" s="12" t="s">
        <v>704</v>
      </c>
      <c r="D171" s="12" t="s">
        <v>688</v>
      </c>
      <c r="E171" s="12" t="s">
        <v>705</v>
      </c>
      <c r="F171" s="12">
        <v>740</v>
      </c>
      <c r="G171" s="12" t="s">
        <v>32</v>
      </c>
      <c r="H171" s="12">
        <v>26</v>
      </c>
      <c r="I171" s="12">
        <v>7</v>
      </c>
      <c r="J171" s="12">
        <v>19</v>
      </c>
      <c r="K171" s="14">
        <v>45491</v>
      </c>
      <c r="L171" s="14">
        <v>47042</v>
      </c>
      <c r="M171" s="12">
        <v>1551</v>
      </c>
      <c r="N171" s="12">
        <v>460</v>
      </c>
      <c r="O171" s="12" t="s">
        <v>391</v>
      </c>
      <c r="P171" s="12" t="s">
        <v>28</v>
      </c>
    </row>
    <row r="172" spans="1:16" x14ac:dyDescent="0.3">
      <c r="A172" s="12">
        <v>271</v>
      </c>
      <c r="B172" s="12" t="s">
        <v>706</v>
      </c>
      <c r="C172" s="12" t="s">
        <v>707</v>
      </c>
      <c r="D172" s="12" t="s">
        <v>688</v>
      </c>
      <c r="E172" s="12" t="s">
        <v>708</v>
      </c>
      <c r="F172" s="12">
        <v>235</v>
      </c>
      <c r="G172" s="12" t="s">
        <v>38</v>
      </c>
      <c r="H172" s="12">
        <v>25</v>
      </c>
      <c r="I172" s="12">
        <v>10</v>
      </c>
      <c r="J172" s="12">
        <v>15</v>
      </c>
      <c r="K172" s="14">
        <v>45492</v>
      </c>
      <c r="L172" s="14">
        <v>47054</v>
      </c>
      <c r="M172" s="12">
        <v>1562</v>
      </c>
      <c r="N172" s="12">
        <v>480</v>
      </c>
      <c r="O172" s="12" t="s">
        <v>709</v>
      </c>
      <c r="P172" s="12" t="s">
        <v>34</v>
      </c>
    </row>
    <row r="173" spans="1:16" x14ac:dyDescent="0.3">
      <c r="A173" s="12">
        <v>272</v>
      </c>
      <c r="B173" s="12" t="s">
        <v>710</v>
      </c>
      <c r="C173" s="12" t="s">
        <v>711</v>
      </c>
      <c r="D173" s="12" t="s">
        <v>688</v>
      </c>
      <c r="E173" s="12" t="s">
        <v>712</v>
      </c>
      <c r="F173" s="12">
        <v>724</v>
      </c>
      <c r="G173" s="12" t="s">
        <v>26</v>
      </c>
      <c r="H173" s="12">
        <v>24</v>
      </c>
      <c r="I173" s="12">
        <v>4</v>
      </c>
      <c r="J173" s="12">
        <v>20</v>
      </c>
      <c r="K173" s="14">
        <v>45493</v>
      </c>
      <c r="L173" s="14">
        <v>47061</v>
      </c>
      <c r="M173" s="12">
        <v>1568</v>
      </c>
      <c r="N173" s="12">
        <v>600</v>
      </c>
      <c r="O173" s="12" t="s">
        <v>713</v>
      </c>
      <c r="P173" s="12" t="s">
        <v>34</v>
      </c>
    </row>
    <row r="174" spans="1:16" x14ac:dyDescent="0.3">
      <c r="A174" s="12">
        <v>273</v>
      </c>
      <c r="B174" s="12" t="s">
        <v>714</v>
      </c>
      <c r="C174" s="12" t="s">
        <v>715</v>
      </c>
      <c r="D174" s="12" t="s">
        <v>688</v>
      </c>
      <c r="E174" s="12" t="s">
        <v>716</v>
      </c>
      <c r="F174" s="12">
        <v>359</v>
      </c>
      <c r="G174" s="12" t="s">
        <v>65</v>
      </c>
      <c r="H174" s="12">
        <v>23</v>
      </c>
      <c r="I174" s="12">
        <v>8</v>
      </c>
      <c r="J174" s="12">
        <v>15</v>
      </c>
      <c r="K174" s="14">
        <v>45494</v>
      </c>
      <c r="L174" s="14">
        <v>47074</v>
      </c>
      <c r="M174" s="12">
        <v>1580</v>
      </c>
      <c r="N174" s="12">
        <v>800</v>
      </c>
      <c r="O174" s="12" t="s">
        <v>717</v>
      </c>
      <c r="P174" s="12" t="s">
        <v>28</v>
      </c>
    </row>
    <row r="175" spans="1:16" x14ac:dyDescent="0.3">
      <c r="A175" s="12">
        <v>274</v>
      </c>
      <c r="B175" s="12" t="s">
        <v>718</v>
      </c>
      <c r="C175" s="12" t="s">
        <v>719</v>
      </c>
      <c r="D175" s="12" t="s">
        <v>688</v>
      </c>
      <c r="E175" s="12" t="s">
        <v>720</v>
      </c>
      <c r="F175" s="12">
        <v>898</v>
      </c>
      <c r="G175" s="12" t="s">
        <v>65</v>
      </c>
      <c r="H175" s="12">
        <v>22</v>
      </c>
      <c r="I175" s="12">
        <v>13</v>
      </c>
      <c r="J175" s="12">
        <v>9</v>
      </c>
      <c r="K175" s="14">
        <v>45495</v>
      </c>
      <c r="L175" s="14">
        <v>47086</v>
      </c>
      <c r="M175" s="12">
        <v>1591</v>
      </c>
      <c r="N175" s="12">
        <v>100</v>
      </c>
      <c r="O175" s="12" t="s">
        <v>721</v>
      </c>
      <c r="P175" s="12" t="s">
        <v>28</v>
      </c>
    </row>
    <row r="176" spans="1:16" x14ac:dyDescent="0.3">
      <c r="A176" s="12">
        <v>275</v>
      </c>
      <c r="B176" s="12" t="s">
        <v>722</v>
      </c>
      <c r="C176" s="12" t="s">
        <v>723</v>
      </c>
      <c r="D176" s="12" t="s">
        <v>688</v>
      </c>
      <c r="E176" s="12" t="s">
        <v>724</v>
      </c>
      <c r="F176" s="12">
        <v>442</v>
      </c>
      <c r="G176" s="12" t="s">
        <v>38</v>
      </c>
      <c r="H176" s="12">
        <v>21</v>
      </c>
      <c r="I176" s="12">
        <v>6</v>
      </c>
      <c r="J176" s="12">
        <v>15</v>
      </c>
      <c r="K176" s="14">
        <v>45879</v>
      </c>
      <c r="L176" s="14">
        <v>47092</v>
      </c>
      <c r="M176" s="12">
        <v>1213</v>
      </c>
      <c r="N176" s="12">
        <v>120</v>
      </c>
      <c r="O176" s="12" t="s">
        <v>725</v>
      </c>
      <c r="P176" s="12" t="s">
        <v>28</v>
      </c>
    </row>
    <row r="177" spans="1:16" x14ac:dyDescent="0.3">
      <c r="A177" s="12">
        <v>276</v>
      </c>
      <c r="B177" s="12" t="s">
        <v>726</v>
      </c>
      <c r="C177" s="12" t="s">
        <v>538</v>
      </c>
      <c r="D177" s="12" t="s">
        <v>727</v>
      </c>
      <c r="E177" s="12" t="s">
        <v>728</v>
      </c>
      <c r="F177" s="12">
        <v>285</v>
      </c>
      <c r="G177" s="12" t="s">
        <v>65</v>
      </c>
      <c r="H177" s="12">
        <v>20</v>
      </c>
      <c r="I177" s="12">
        <v>6</v>
      </c>
      <c r="J177" s="12">
        <v>14</v>
      </c>
      <c r="K177" s="14">
        <v>45878</v>
      </c>
      <c r="L177" s="14">
        <v>47105</v>
      </c>
      <c r="M177" s="12">
        <v>1227</v>
      </c>
      <c r="N177" s="12">
        <v>140</v>
      </c>
      <c r="O177" s="12" t="s">
        <v>729</v>
      </c>
      <c r="P177" s="12" t="s">
        <v>28</v>
      </c>
    </row>
    <row r="178" spans="1:16" x14ac:dyDescent="0.3">
      <c r="A178" s="12">
        <v>277</v>
      </c>
      <c r="B178" s="12" t="s">
        <v>730</v>
      </c>
      <c r="C178" s="12" t="s">
        <v>731</v>
      </c>
      <c r="D178" s="12" t="s">
        <v>727</v>
      </c>
      <c r="E178" s="12" t="s">
        <v>732</v>
      </c>
      <c r="F178" s="12">
        <v>995</v>
      </c>
      <c r="G178" s="12" t="s">
        <v>32</v>
      </c>
      <c r="H178" s="12">
        <v>19</v>
      </c>
      <c r="I178" s="12">
        <v>7</v>
      </c>
      <c r="J178" s="12">
        <v>12</v>
      </c>
      <c r="K178" s="14">
        <v>45877</v>
      </c>
      <c r="L178" s="14">
        <v>47117</v>
      </c>
      <c r="M178" s="12">
        <v>1240</v>
      </c>
      <c r="N178" s="12">
        <v>160</v>
      </c>
      <c r="O178" s="12" t="s">
        <v>516</v>
      </c>
      <c r="P178" s="12" t="s">
        <v>28</v>
      </c>
    </row>
    <row r="179" spans="1:16" x14ac:dyDescent="0.3">
      <c r="A179" s="12">
        <v>278</v>
      </c>
      <c r="B179" s="12" t="s">
        <v>733</v>
      </c>
      <c r="C179" s="12" t="s">
        <v>734</v>
      </c>
      <c r="D179" s="12" t="s">
        <v>727</v>
      </c>
      <c r="E179" s="12" t="s">
        <v>735</v>
      </c>
      <c r="F179" s="12">
        <v>777</v>
      </c>
      <c r="G179" s="12" t="s">
        <v>26</v>
      </c>
      <c r="H179" s="12">
        <v>18</v>
      </c>
      <c r="I179" s="12">
        <v>3</v>
      </c>
      <c r="J179" s="12">
        <v>15</v>
      </c>
      <c r="K179" s="14">
        <v>45876</v>
      </c>
      <c r="L179" s="14">
        <v>45890</v>
      </c>
      <c r="M179" s="12">
        <v>14</v>
      </c>
      <c r="N179" s="12">
        <v>180</v>
      </c>
      <c r="O179" s="12" t="s">
        <v>593</v>
      </c>
      <c r="P179" s="12" t="s">
        <v>34</v>
      </c>
    </row>
    <row r="180" spans="1:16" x14ac:dyDescent="0.3">
      <c r="A180" s="12">
        <v>279</v>
      </c>
      <c r="B180" s="12" t="s">
        <v>736</v>
      </c>
      <c r="C180" s="12" t="s">
        <v>737</v>
      </c>
      <c r="D180" s="12" t="s">
        <v>727</v>
      </c>
      <c r="E180" s="12" t="s">
        <v>738</v>
      </c>
      <c r="F180" s="12">
        <v>881</v>
      </c>
      <c r="G180" s="12" t="s">
        <v>20</v>
      </c>
      <c r="H180" s="12">
        <v>17</v>
      </c>
      <c r="I180" s="12">
        <v>9</v>
      </c>
      <c r="J180" s="12">
        <v>8</v>
      </c>
      <c r="K180" s="14">
        <v>45875</v>
      </c>
      <c r="L180" s="14">
        <v>45893</v>
      </c>
      <c r="M180" s="12">
        <v>18</v>
      </c>
      <c r="N180" s="12">
        <v>200</v>
      </c>
      <c r="O180" s="12" t="s">
        <v>185</v>
      </c>
      <c r="P180" s="12" t="s">
        <v>22</v>
      </c>
    </row>
    <row r="181" spans="1:16" x14ac:dyDescent="0.3">
      <c r="A181" s="12">
        <v>280</v>
      </c>
      <c r="B181" s="12" t="s">
        <v>739</v>
      </c>
      <c r="C181" s="12" t="s">
        <v>740</v>
      </c>
      <c r="D181" s="12" t="s">
        <v>727</v>
      </c>
      <c r="E181" s="12" t="s">
        <v>741</v>
      </c>
      <c r="F181" s="12">
        <v>756</v>
      </c>
      <c r="G181" s="12" t="s">
        <v>65</v>
      </c>
      <c r="H181" s="12">
        <v>16</v>
      </c>
      <c r="I181" s="12">
        <v>1</v>
      </c>
      <c r="J181" s="12">
        <v>15</v>
      </c>
      <c r="K181" s="14">
        <v>45874</v>
      </c>
      <c r="L181" s="14">
        <v>45885</v>
      </c>
      <c r="M181" s="12">
        <v>11</v>
      </c>
      <c r="N181" s="12">
        <v>220</v>
      </c>
      <c r="O181" s="12" t="s">
        <v>742</v>
      </c>
      <c r="P181" s="12" t="s">
        <v>28</v>
      </c>
    </row>
    <row r="182" spans="1:16" x14ac:dyDescent="0.3">
      <c r="A182" s="12">
        <v>281</v>
      </c>
      <c r="B182" s="12" t="s">
        <v>743</v>
      </c>
      <c r="C182" s="12" t="s">
        <v>744</v>
      </c>
      <c r="D182" s="12" t="s">
        <v>727</v>
      </c>
      <c r="E182" s="12" t="s">
        <v>745</v>
      </c>
      <c r="F182" s="12">
        <v>773</v>
      </c>
      <c r="G182" s="12" t="s">
        <v>32</v>
      </c>
      <c r="H182" s="12">
        <v>15</v>
      </c>
      <c r="I182" s="12">
        <v>1</v>
      </c>
      <c r="J182" s="12">
        <v>14</v>
      </c>
      <c r="K182" s="14">
        <v>45873</v>
      </c>
      <c r="L182" s="14">
        <v>45887</v>
      </c>
      <c r="M182" s="12">
        <v>14</v>
      </c>
      <c r="N182" s="12">
        <v>240</v>
      </c>
      <c r="O182" s="12" t="s">
        <v>746</v>
      </c>
      <c r="P182" s="12" t="s">
        <v>28</v>
      </c>
    </row>
    <row r="183" spans="1:16" x14ac:dyDescent="0.3">
      <c r="A183" s="12">
        <v>282</v>
      </c>
      <c r="B183" s="12" t="s">
        <v>747</v>
      </c>
      <c r="C183" s="12" t="s">
        <v>748</v>
      </c>
      <c r="D183" s="12" t="s">
        <v>727</v>
      </c>
      <c r="E183" s="12" t="s">
        <v>749</v>
      </c>
      <c r="F183" s="12">
        <v>845</v>
      </c>
      <c r="G183" s="12" t="s">
        <v>20</v>
      </c>
      <c r="H183" s="12">
        <v>14</v>
      </c>
      <c r="I183" s="12">
        <v>2</v>
      </c>
      <c r="J183" s="12">
        <v>12</v>
      </c>
      <c r="K183" s="14">
        <v>45872</v>
      </c>
      <c r="L183" s="14">
        <v>45893</v>
      </c>
      <c r="M183" s="12">
        <v>21</v>
      </c>
      <c r="N183" s="12">
        <v>260</v>
      </c>
      <c r="O183" s="12" t="s">
        <v>750</v>
      </c>
      <c r="P183" s="12" t="s">
        <v>28</v>
      </c>
    </row>
    <row r="184" spans="1:16" x14ac:dyDescent="0.3">
      <c r="A184" s="12">
        <v>283</v>
      </c>
      <c r="B184" s="12" t="s">
        <v>751</v>
      </c>
      <c r="C184" s="12" t="s">
        <v>752</v>
      </c>
      <c r="D184" s="12" t="s">
        <v>727</v>
      </c>
      <c r="E184" s="12" t="s">
        <v>753</v>
      </c>
      <c r="F184" s="12">
        <v>995</v>
      </c>
      <c r="G184" s="12" t="s">
        <v>26</v>
      </c>
      <c r="H184" s="12">
        <v>13</v>
      </c>
      <c r="I184" s="12">
        <v>3</v>
      </c>
      <c r="J184" s="12">
        <v>10</v>
      </c>
      <c r="K184" s="14">
        <v>45871</v>
      </c>
      <c r="L184" s="14">
        <v>45884</v>
      </c>
      <c r="M184" s="12">
        <v>13</v>
      </c>
      <c r="N184" s="12">
        <v>280</v>
      </c>
      <c r="O184" s="12" t="s">
        <v>754</v>
      </c>
      <c r="P184" s="12" t="s">
        <v>107</v>
      </c>
    </row>
    <row r="185" spans="1:16" x14ac:dyDescent="0.3">
      <c r="A185" s="12">
        <v>284</v>
      </c>
      <c r="B185" s="12" t="s">
        <v>755</v>
      </c>
      <c r="C185" s="12" t="s">
        <v>756</v>
      </c>
      <c r="D185" s="12" t="s">
        <v>727</v>
      </c>
      <c r="E185" s="12" t="s">
        <v>757</v>
      </c>
      <c r="F185" s="12">
        <v>227</v>
      </c>
      <c r="G185" s="12" t="s">
        <v>20</v>
      </c>
      <c r="H185" s="12">
        <v>12</v>
      </c>
      <c r="I185" s="12">
        <v>4</v>
      </c>
      <c r="J185" s="12">
        <v>8</v>
      </c>
      <c r="K185" s="14">
        <v>45870</v>
      </c>
      <c r="L185" s="14">
        <v>45891</v>
      </c>
      <c r="M185" s="12">
        <v>21</v>
      </c>
      <c r="N185" s="12">
        <v>300</v>
      </c>
      <c r="O185" s="12" t="s">
        <v>758</v>
      </c>
      <c r="P185" s="12" t="s">
        <v>28</v>
      </c>
    </row>
    <row r="186" spans="1:16" x14ac:dyDescent="0.3">
      <c r="A186" s="12">
        <v>285</v>
      </c>
      <c r="B186" s="12" t="s">
        <v>759</v>
      </c>
      <c r="C186" s="12" t="s">
        <v>760</v>
      </c>
      <c r="D186" s="12" t="s">
        <v>727</v>
      </c>
      <c r="E186" s="12" t="s">
        <v>761</v>
      </c>
      <c r="F186" s="12">
        <v>819</v>
      </c>
      <c r="G186" s="12" t="s">
        <v>32</v>
      </c>
      <c r="H186" s="12">
        <v>11</v>
      </c>
      <c r="I186" s="12">
        <v>5</v>
      </c>
      <c r="J186" s="12">
        <v>6</v>
      </c>
      <c r="K186" s="14">
        <v>45325</v>
      </c>
      <c r="L186" s="14">
        <v>45354</v>
      </c>
      <c r="M186" s="12">
        <v>29</v>
      </c>
      <c r="N186" s="12">
        <v>320</v>
      </c>
      <c r="O186" s="12" t="s">
        <v>762</v>
      </c>
      <c r="P186" s="12" t="s">
        <v>28</v>
      </c>
    </row>
    <row r="187" spans="1:16" x14ac:dyDescent="0.3">
      <c r="A187" s="12">
        <v>286</v>
      </c>
      <c r="B187" s="12" t="s">
        <v>763</v>
      </c>
      <c r="C187" s="12" t="s">
        <v>764</v>
      </c>
      <c r="D187" s="12" t="s">
        <v>765</v>
      </c>
      <c r="E187" s="12" t="s">
        <v>766</v>
      </c>
      <c r="F187" s="12">
        <v>755</v>
      </c>
      <c r="G187" s="12" t="s">
        <v>20</v>
      </c>
      <c r="H187" s="12">
        <v>10</v>
      </c>
      <c r="I187" s="12">
        <v>6</v>
      </c>
      <c r="J187" s="12">
        <v>4</v>
      </c>
      <c r="K187" s="14">
        <v>45326</v>
      </c>
      <c r="L187" s="14">
        <v>45366</v>
      </c>
      <c r="M187" s="12">
        <v>40</v>
      </c>
      <c r="N187" s="12">
        <v>340</v>
      </c>
      <c r="O187" s="12" t="s">
        <v>767</v>
      </c>
      <c r="P187" s="12" t="s">
        <v>28</v>
      </c>
    </row>
    <row r="188" spans="1:16" x14ac:dyDescent="0.3">
      <c r="A188" s="12">
        <v>287</v>
      </c>
      <c r="B188" s="12" t="s">
        <v>768</v>
      </c>
      <c r="C188" s="12" t="s">
        <v>769</v>
      </c>
      <c r="D188" s="12" t="s">
        <v>765</v>
      </c>
      <c r="E188" s="12" t="s">
        <v>770</v>
      </c>
      <c r="F188" s="12">
        <v>539</v>
      </c>
      <c r="G188" s="12" t="s">
        <v>38</v>
      </c>
      <c r="H188" s="12">
        <v>9</v>
      </c>
      <c r="I188" s="12">
        <v>7</v>
      </c>
      <c r="J188" s="12">
        <v>2</v>
      </c>
      <c r="K188" s="14">
        <v>45327</v>
      </c>
      <c r="L188" s="14">
        <v>45379</v>
      </c>
      <c r="M188" s="12">
        <v>52</v>
      </c>
      <c r="N188" s="12">
        <v>360</v>
      </c>
      <c r="O188" s="12" t="s">
        <v>771</v>
      </c>
      <c r="P188" s="12" t="s">
        <v>34</v>
      </c>
    </row>
    <row r="189" spans="1:16" x14ac:dyDescent="0.3">
      <c r="A189" s="12">
        <v>288</v>
      </c>
      <c r="B189" s="12" t="s">
        <v>772</v>
      </c>
      <c r="C189" s="12" t="s">
        <v>773</v>
      </c>
      <c r="D189" s="12" t="s">
        <v>765</v>
      </c>
      <c r="E189" s="12" t="s">
        <v>774</v>
      </c>
      <c r="F189" s="12">
        <v>997</v>
      </c>
      <c r="G189" s="12" t="s">
        <v>20</v>
      </c>
      <c r="H189" s="12">
        <v>8</v>
      </c>
      <c r="I189" s="12">
        <v>8</v>
      </c>
      <c r="J189" s="12">
        <v>0</v>
      </c>
      <c r="K189" s="14">
        <v>45328</v>
      </c>
      <c r="L189" s="14">
        <v>45388</v>
      </c>
      <c r="M189" s="12">
        <v>60</v>
      </c>
      <c r="N189" s="12">
        <v>380</v>
      </c>
      <c r="O189" s="12" t="s">
        <v>775</v>
      </c>
      <c r="P189" s="12" t="s">
        <v>34</v>
      </c>
    </row>
    <row r="190" spans="1:16" x14ac:dyDescent="0.3">
      <c r="A190" s="12">
        <v>289</v>
      </c>
      <c r="B190" s="12" t="s">
        <v>776</v>
      </c>
      <c r="C190" s="12" t="s">
        <v>777</v>
      </c>
      <c r="D190" s="12" t="s">
        <v>765</v>
      </c>
      <c r="E190" s="12" t="s">
        <v>778</v>
      </c>
      <c r="F190" s="12">
        <v>530</v>
      </c>
      <c r="G190" s="12" t="s">
        <v>65</v>
      </c>
      <c r="H190" s="12">
        <v>11</v>
      </c>
      <c r="I190" s="12">
        <v>6</v>
      </c>
      <c r="J190" s="12">
        <v>5</v>
      </c>
      <c r="K190" s="14">
        <v>45329</v>
      </c>
      <c r="L190" s="14">
        <v>45401</v>
      </c>
      <c r="M190" s="12">
        <v>72</v>
      </c>
      <c r="N190" s="12">
        <v>400</v>
      </c>
      <c r="O190" s="12" t="s">
        <v>779</v>
      </c>
      <c r="P190" s="12" t="s">
        <v>28</v>
      </c>
    </row>
    <row r="191" spans="1:16" x14ac:dyDescent="0.3">
      <c r="A191" s="12">
        <v>290</v>
      </c>
      <c r="B191" s="12" t="s">
        <v>780</v>
      </c>
      <c r="C191" s="12" t="s">
        <v>781</v>
      </c>
      <c r="D191" s="12" t="s">
        <v>765</v>
      </c>
      <c r="E191" s="12" t="s">
        <v>782</v>
      </c>
      <c r="F191" s="12">
        <v>839</v>
      </c>
      <c r="G191" s="12" t="s">
        <v>65</v>
      </c>
      <c r="H191" s="12">
        <v>10</v>
      </c>
      <c r="I191" s="12">
        <v>7</v>
      </c>
      <c r="J191" s="12">
        <v>3</v>
      </c>
      <c r="K191" s="14">
        <v>45330</v>
      </c>
      <c r="L191" s="14">
        <v>45412</v>
      </c>
      <c r="M191" s="12">
        <v>82</v>
      </c>
      <c r="N191" s="12">
        <v>420</v>
      </c>
      <c r="O191" s="12" t="s">
        <v>783</v>
      </c>
      <c r="P191" s="12" t="s">
        <v>28</v>
      </c>
    </row>
    <row r="192" spans="1:16" x14ac:dyDescent="0.3">
      <c r="A192" s="12">
        <v>291</v>
      </c>
      <c r="B192" s="12" t="s">
        <v>784</v>
      </c>
      <c r="C192" s="12" t="s">
        <v>785</v>
      </c>
      <c r="D192" s="12" t="s">
        <v>765</v>
      </c>
      <c r="E192" s="12" t="s">
        <v>786</v>
      </c>
      <c r="F192" s="12">
        <v>705</v>
      </c>
      <c r="G192" s="12" t="s">
        <v>38</v>
      </c>
      <c r="H192" s="12">
        <v>9</v>
      </c>
      <c r="I192" s="12">
        <v>8</v>
      </c>
      <c r="J192" s="12">
        <v>1</v>
      </c>
      <c r="K192" s="14">
        <v>45331</v>
      </c>
      <c r="L192" s="14">
        <v>45416</v>
      </c>
      <c r="M192" s="12">
        <v>85</v>
      </c>
      <c r="N192" s="12">
        <v>440</v>
      </c>
      <c r="O192" s="12" t="s">
        <v>787</v>
      </c>
      <c r="P192" s="12" t="s">
        <v>28</v>
      </c>
    </row>
    <row r="193" spans="1:16" x14ac:dyDescent="0.3">
      <c r="A193" s="12">
        <v>292</v>
      </c>
      <c r="B193" s="12" t="s">
        <v>788</v>
      </c>
      <c r="C193" s="12" t="s">
        <v>789</v>
      </c>
      <c r="D193" s="12" t="s">
        <v>765</v>
      </c>
      <c r="E193" s="12" t="s">
        <v>790</v>
      </c>
      <c r="F193" s="12">
        <v>547</v>
      </c>
      <c r="G193" s="12" t="s">
        <v>32</v>
      </c>
      <c r="H193" s="12">
        <v>9</v>
      </c>
      <c r="I193" s="12">
        <v>4</v>
      </c>
      <c r="J193" s="12">
        <v>5</v>
      </c>
      <c r="K193" s="14">
        <v>45332</v>
      </c>
      <c r="L193" s="14">
        <v>45429</v>
      </c>
      <c r="M193" s="12">
        <v>97</v>
      </c>
      <c r="N193" s="12">
        <v>460</v>
      </c>
      <c r="O193" s="12" t="s">
        <v>791</v>
      </c>
      <c r="P193" s="12" t="s">
        <v>34</v>
      </c>
    </row>
    <row r="194" spans="1:16" x14ac:dyDescent="0.3">
      <c r="A194" s="12">
        <v>293</v>
      </c>
      <c r="B194" s="12" t="s">
        <v>792</v>
      </c>
      <c r="C194" s="12" t="s">
        <v>793</v>
      </c>
      <c r="D194" s="12" t="s">
        <v>765</v>
      </c>
      <c r="E194" s="12" t="s">
        <v>794</v>
      </c>
      <c r="F194" s="12">
        <v>672</v>
      </c>
      <c r="G194" s="12" t="s">
        <v>65</v>
      </c>
      <c r="H194" s="12">
        <v>10</v>
      </c>
      <c r="I194" s="12">
        <v>7</v>
      </c>
      <c r="J194" s="12">
        <v>3</v>
      </c>
      <c r="K194" s="14">
        <v>45333</v>
      </c>
      <c r="L194" s="14">
        <v>45441</v>
      </c>
      <c r="M194" s="12">
        <v>108</v>
      </c>
      <c r="N194" s="12">
        <v>480</v>
      </c>
      <c r="O194" s="12" t="s">
        <v>795</v>
      </c>
      <c r="P194" s="12" t="s">
        <v>28</v>
      </c>
    </row>
    <row r="195" spans="1:16" x14ac:dyDescent="0.3">
      <c r="A195" s="12">
        <v>294</v>
      </c>
      <c r="B195" s="12" t="s">
        <v>796</v>
      </c>
      <c r="C195" s="12" t="s">
        <v>797</v>
      </c>
      <c r="D195" s="12" t="s">
        <v>765</v>
      </c>
      <c r="E195" s="12" t="s">
        <v>798</v>
      </c>
      <c r="F195" s="12">
        <v>430</v>
      </c>
      <c r="G195" s="12" t="s">
        <v>26</v>
      </c>
      <c r="H195" s="12">
        <v>11</v>
      </c>
      <c r="I195" s="12">
        <v>6</v>
      </c>
      <c r="J195" s="12">
        <v>5</v>
      </c>
      <c r="K195" s="14">
        <v>45334</v>
      </c>
      <c r="L195" s="14">
        <v>45445</v>
      </c>
      <c r="M195" s="12">
        <v>111</v>
      </c>
      <c r="N195" s="12">
        <v>400</v>
      </c>
      <c r="O195" s="12" t="s">
        <v>799</v>
      </c>
      <c r="P195" s="12" t="s">
        <v>28</v>
      </c>
    </row>
    <row r="196" spans="1:16" x14ac:dyDescent="0.3">
      <c r="A196" s="12">
        <v>295</v>
      </c>
      <c r="B196" s="12" t="s">
        <v>800</v>
      </c>
      <c r="C196" s="12" t="s">
        <v>801</v>
      </c>
      <c r="D196" s="12" t="s">
        <v>765</v>
      </c>
      <c r="E196" s="12" t="s">
        <v>802</v>
      </c>
      <c r="F196" s="12">
        <v>389</v>
      </c>
      <c r="G196" s="12" t="s">
        <v>65</v>
      </c>
      <c r="H196" s="12">
        <v>12</v>
      </c>
      <c r="I196" s="12">
        <v>5</v>
      </c>
      <c r="J196" s="12">
        <v>7</v>
      </c>
      <c r="K196" s="14">
        <v>45335</v>
      </c>
      <c r="L196" s="14">
        <v>45457</v>
      </c>
      <c r="M196" s="12">
        <v>122</v>
      </c>
      <c r="N196" s="12">
        <v>600</v>
      </c>
      <c r="O196" s="12" t="s">
        <v>803</v>
      </c>
      <c r="P196" s="12" t="s">
        <v>28</v>
      </c>
    </row>
    <row r="197" spans="1:16" x14ac:dyDescent="0.3">
      <c r="A197" s="12">
        <v>296</v>
      </c>
      <c r="B197" s="12" t="s">
        <v>804</v>
      </c>
      <c r="C197" s="12" t="s">
        <v>805</v>
      </c>
      <c r="D197" s="12" t="s">
        <v>806</v>
      </c>
      <c r="E197" s="12" t="s">
        <v>807</v>
      </c>
      <c r="F197" s="12">
        <v>424</v>
      </c>
      <c r="G197" s="12" t="s">
        <v>65</v>
      </c>
      <c r="H197" s="12">
        <v>13</v>
      </c>
      <c r="I197" s="12">
        <v>4</v>
      </c>
      <c r="J197" s="12">
        <v>9</v>
      </c>
      <c r="K197" s="14">
        <v>45336</v>
      </c>
      <c r="L197" s="14">
        <v>45470</v>
      </c>
      <c r="M197" s="12">
        <v>134</v>
      </c>
      <c r="N197" s="12">
        <v>800</v>
      </c>
      <c r="O197" s="12" t="s">
        <v>808</v>
      </c>
      <c r="P197" s="12" t="s">
        <v>28</v>
      </c>
    </row>
    <row r="198" spans="1:16" x14ac:dyDescent="0.3">
      <c r="A198" s="12">
        <v>297</v>
      </c>
      <c r="B198" s="12" t="s">
        <v>809</v>
      </c>
      <c r="C198" s="12" t="s">
        <v>810</v>
      </c>
      <c r="D198" s="12" t="s">
        <v>806</v>
      </c>
      <c r="E198" s="12" t="s">
        <v>811</v>
      </c>
      <c r="F198" s="12">
        <v>584</v>
      </c>
      <c r="G198" s="12" t="s">
        <v>32</v>
      </c>
      <c r="H198" s="12">
        <v>14</v>
      </c>
      <c r="I198" s="12">
        <v>3</v>
      </c>
      <c r="J198" s="12">
        <v>11</v>
      </c>
      <c r="K198" s="14">
        <v>45337</v>
      </c>
      <c r="L198" s="14">
        <v>45478</v>
      </c>
      <c r="M198" s="12">
        <v>141</v>
      </c>
      <c r="N198" s="12">
        <v>100</v>
      </c>
      <c r="O198" s="12" t="s">
        <v>812</v>
      </c>
      <c r="P198" s="12" t="s">
        <v>28</v>
      </c>
    </row>
    <row r="199" spans="1:16" x14ac:dyDescent="0.3">
      <c r="A199" s="12">
        <v>298</v>
      </c>
      <c r="B199" s="12" t="s">
        <v>813</v>
      </c>
      <c r="C199" s="12" t="s">
        <v>814</v>
      </c>
      <c r="D199" s="12" t="s">
        <v>806</v>
      </c>
      <c r="E199" s="12" t="s">
        <v>815</v>
      </c>
      <c r="F199" s="12">
        <v>576</v>
      </c>
      <c r="G199" s="12" t="s">
        <v>20</v>
      </c>
      <c r="H199" s="12">
        <v>15</v>
      </c>
      <c r="I199" s="12">
        <v>2</v>
      </c>
      <c r="J199" s="12">
        <v>13</v>
      </c>
      <c r="K199" s="14">
        <v>45338</v>
      </c>
      <c r="L199" s="14">
        <v>45491</v>
      </c>
      <c r="M199" s="12">
        <v>153</v>
      </c>
      <c r="N199" s="12">
        <v>120</v>
      </c>
      <c r="O199" s="12" t="s">
        <v>816</v>
      </c>
      <c r="P199" s="12" t="s">
        <v>28</v>
      </c>
    </row>
    <row r="200" spans="1:16" x14ac:dyDescent="0.3">
      <c r="A200" s="12">
        <v>299</v>
      </c>
      <c r="B200" s="12" t="s">
        <v>817</v>
      </c>
      <c r="C200" s="12" t="s">
        <v>818</v>
      </c>
      <c r="D200" s="12" t="s">
        <v>806</v>
      </c>
      <c r="E200" s="12" t="s">
        <v>819</v>
      </c>
      <c r="F200" s="12">
        <v>482</v>
      </c>
      <c r="G200" s="12" t="s">
        <v>65</v>
      </c>
      <c r="H200" s="12">
        <v>23</v>
      </c>
      <c r="I200" s="12">
        <v>14</v>
      </c>
      <c r="J200" s="12">
        <v>9</v>
      </c>
      <c r="K200" s="14">
        <v>45339</v>
      </c>
      <c r="L200" s="14">
        <v>45504</v>
      </c>
      <c r="M200" s="12">
        <v>165</v>
      </c>
      <c r="N200" s="12">
        <v>140</v>
      </c>
      <c r="O200" s="12" t="s">
        <v>820</v>
      </c>
      <c r="P200" s="12" t="s">
        <v>28</v>
      </c>
    </row>
  </sheetData>
  <mergeCells count="10">
    <mergeCell ref="S18:X18"/>
    <mergeCell ref="AB3:AF3"/>
    <mergeCell ref="AB8:AG8"/>
    <mergeCell ref="AB13:AF13"/>
    <mergeCell ref="AB18:AF18"/>
    <mergeCell ref="AJ3:AN3"/>
    <mergeCell ref="AJ8:AO8"/>
    <mergeCell ref="S3:W3"/>
    <mergeCell ref="S8:X8"/>
    <mergeCell ref="S13:W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540D-7AE8-474B-B552-E7D81CDE366F}">
  <dimension ref="A1:X200"/>
  <sheetViews>
    <sheetView workbookViewId="0">
      <selection activeCell="D21" sqref="D21"/>
    </sheetView>
  </sheetViews>
  <sheetFormatPr defaultRowHeight="14.4" x14ac:dyDescent="0.3"/>
  <cols>
    <col min="2" max="2" width="27.33203125" bestFit="1" customWidth="1"/>
    <col min="3" max="3" width="19.21875" bestFit="1" customWidth="1"/>
    <col min="4" max="4" width="21.109375" bestFit="1" customWidth="1"/>
    <col min="5" max="5" width="15.109375" bestFit="1" customWidth="1"/>
    <col min="8" max="8" width="11.6640625" bestFit="1" customWidth="1"/>
    <col min="9" max="9" width="12.5546875" bestFit="1" customWidth="1"/>
    <col min="10" max="10" width="14.88671875" bestFit="1" customWidth="1"/>
    <col min="11" max="12" width="10.33203125" bestFit="1" customWidth="1"/>
    <col min="13" max="13" width="17.77734375" bestFit="1" customWidth="1"/>
    <col min="14" max="14" width="11.77734375" bestFit="1" customWidth="1"/>
    <col min="15" max="15" width="13.21875" bestFit="1" customWidth="1"/>
    <col min="16" max="16" width="14.21875" bestFit="1" customWidth="1"/>
    <col min="20" max="20" width="18.21875" bestFit="1" customWidth="1"/>
  </cols>
  <sheetData>
    <row r="1" spans="1:24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</row>
    <row r="2" spans="1:24" x14ac:dyDescent="0.3">
      <c r="A2" s="12">
        <v>101</v>
      </c>
      <c r="B2" s="12" t="s">
        <v>16</v>
      </c>
      <c r="C2" s="12" t="s">
        <v>17</v>
      </c>
      <c r="D2" s="12" t="s">
        <v>18</v>
      </c>
      <c r="E2" s="12" t="s">
        <v>19</v>
      </c>
      <c r="F2" s="12">
        <v>302</v>
      </c>
      <c r="G2" s="12" t="s">
        <v>20</v>
      </c>
      <c r="H2" s="12">
        <v>45</v>
      </c>
      <c r="I2" s="12">
        <v>23</v>
      </c>
      <c r="J2" s="12">
        <v>22</v>
      </c>
      <c r="K2" s="14">
        <v>45322</v>
      </c>
      <c r="L2" s="14">
        <v>45327</v>
      </c>
      <c r="M2" s="12">
        <v>5</v>
      </c>
      <c r="N2" s="12">
        <v>460</v>
      </c>
      <c r="O2" s="12" t="s">
        <v>21</v>
      </c>
      <c r="P2" s="12" t="s">
        <v>22</v>
      </c>
    </row>
    <row r="3" spans="1:24" x14ac:dyDescent="0.3">
      <c r="A3" s="12">
        <v>102</v>
      </c>
      <c r="B3" s="12" t="s">
        <v>23</v>
      </c>
      <c r="C3" s="12" t="s">
        <v>24</v>
      </c>
      <c r="D3" s="12" t="s">
        <v>18</v>
      </c>
      <c r="E3" s="12" t="s">
        <v>25</v>
      </c>
      <c r="F3" s="12">
        <v>635</v>
      </c>
      <c r="G3" s="12" t="s">
        <v>26</v>
      </c>
      <c r="H3" s="12">
        <v>37</v>
      </c>
      <c r="I3" s="12">
        <v>19</v>
      </c>
      <c r="J3" s="12">
        <v>18</v>
      </c>
      <c r="K3" s="14">
        <v>45323</v>
      </c>
      <c r="L3" s="14">
        <v>45340</v>
      </c>
      <c r="M3" s="12">
        <v>17</v>
      </c>
      <c r="N3" s="12">
        <v>380</v>
      </c>
      <c r="O3" s="12" t="s">
        <v>27</v>
      </c>
      <c r="P3" s="12" t="s">
        <v>28</v>
      </c>
    </row>
    <row r="4" spans="1:24" x14ac:dyDescent="0.3">
      <c r="A4" s="12">
        <v>103</v>
      </c>
      <c r="B4" s="12" t="s">
        <v>29</v>
      </c>
      <c r="C4" s="12" t="s">
        <v>30</v>
      </c>
      <c r="D4" s="12" t="s">
        <v>18</v>
      </c>
      <c r="E4" s="12" t="s">
        <v>31</v>
      </c>
      <c r="F4" s="12">
        <v>470</v>
      </c>
      <c r="G4" s="12" t="s">
        <v>32</v>
      </c>
      <c r="H4" s="12">
        <v>49</v>
      </c>
      <c r="I4" s="12">
        <v>25</v>
      </c>
      <c r="J4" s="12">
        <v>24</v>
      </c>
      <c r="K4" s="14">
        <v>45324</v>
      </c>
      <c r="L4" s="14">
        <v>45349</v>
      </c>
      <c r="M4" s="12">
        <v>25</v>
      </c>
      <c r="N4" s="12">
        <v>500</v>
      </c>
      <c r="O4" s="12" t="s">
        <v>33</v>
      </c>
      <c r="P4" s="12" t="s">
        <v>34</v>
      </c>
      <c r="S4" s="23" t="s">
        <v>831</v>
      </c>
      <c r="T4" s="23"/>
      <c r="U4" s="23"/>
      <c r="V4" s="23"/>
      <c r="W4" s="23"/>
    </row>
    <row r="5" spans="1:24" x14ac:dyDescent="0.3">
      <c r="A5" s="12">
        <v>104</v>
      </c>
      <c r="B5" s="12" t="s">
        <v>35</v>
      </c>
      <c r="C5" s="12" t="s">
        <v>36</v>
      </c>
      <c r="D5" s="12" t="s">
        <v>18</v>
      </c>
      <c r="E5" s="12" t="s">
        <v>37</v>
      </c>
      <c r="F5" s="12">
        <v>306</v>
      </c>
      <c r="G5" s="12" t="s">
        <v>38</v>
      </c>
      <c r="H5" s="12">
        <v>31</v>
      </c>
      <c r="I5" s="12">
        <v>12</v>
      </c>
      <c r="J5" s="12">
        <v>19</v>
      </c>
      <c r="K5" s="14">
        <v>45325</v>
      </c>
      <c r="L5" s="14">
        <v>45354</v>
      </c>
      <c r="M5" s="12">
        <v>29</v>
      </c>
      <c r="N5" s="12">
        <v>240</v>
      </c>
      <c r="O5" s="12" t="s">
        <v>39</v>
      </c>
      <c r="P5" s="12" t="s">
        <v>34</v>
      </c>
    </row>
    <row r="6" spans="1:24" x14ac:dyDescent="0.3">
      <c r="A6" s="12">
        <v>105</v>
      </c>
      <c r="B6" s="12" t="s">
        <v>41</v>
      </c>
      <c r="C6" s="12" t="s">
        <v>42</v>
      </c>
      <c r="D6" s="12" t="s">
        <v>18</v>
      </c>
      <c r="E6" s="12" t="s">
        <v>43</v>
      </c>
      <c r="F6" s="12">
        <v>271</v>
      </c>
      <c r="G6" s="12" t="s">
        <v>38</v>
      </c>
      <c r="H6" s="12">
        <v>42</v>
      </c>
      <c r="I6" s="12">
        <v>28</v>
      </c>
      <c r="J6" s="12">
        <v>14</v>
      </c>
      <c r="K6" s="14">
        <v>45326</v>
      </c>
      <c r="L6" s="14">
        <v>45366</v>
      </c>
      <c r="M6" s="12">
        <v>40</v>
      </c>
      <c r="N6" s="12">
        <v>560</v>
      </c>
      <c r="O6" s="12" t="s">
        <v>44</v>
      </c>
      <c r="P6" s="12" t="s">
        <v>28</v>
      </c>
      <c r="T6" s="3">
        <f>VLOOKUP("Machine Learning",B2:F300,5,FALSE)</f>
        <v>666</v>
      </c>
    </row>
    <row r="7" spans="1:24" x14ac:dyDescent="0.3">
      <c r="A7" s="12">
        <v>106</v>
      </c>
      <c r="B7" s="12" t="s">
        <v>45</v>
      </c>
      <c r="C7" s="12" t="s">
        <v>46</v>
      </c>
      <c r="D7" s="12" t="s">
        <v>18</v>
      </c>
      <c r="E7" s="12" t="s">
        <v>47</v>
      </c>
      <c r="F7" s="12">
        <v>900</v>
      </c>
      <c r="G7" s="12" t="s">
        <v>32</v>
      </c>
      <c r="H7" s="12">
        <v>28</v>
      </c>
      <c r="I7" s="12">
        <v>9</v>
      </c>
      <c r="J7" s="12">
        <v>19</v>
      </c>
      <c r="K7" s="14">
        <v>45327</v>
      </c>
      <c r="L7" s="14">
        <v>45379</v>
      </c>
      <c r="M7" s="12">
        <v>52</v>
      </c>
      <c r="N7" s="12">
        <v>900</v>
      </c>
      <c r="O7" s="12" t="s">
        <v>48</v>
      </c>
      <c r="P7" s="12" t="s">
        <v>28</v>
      </c>
    </row>
    <row r="8" spans="1:24" x14ac:dyDescent="0.3">
      <c r="A8" s="12">
        <v>107</v>
      </c>
      <c r="B8" s="12" t="s">
        <v>49</v>
      </c>
      <c r="C8" s="12" t="s">
        <v>50</v>
      </c>
      <c r="D8" s="12" t="s">
        <v>18</v>
      </c>
      <c r="E8" s="12" t="s">
        <v>51</v>
      </c>
      <c r="F8" s="12">
        <v>220</v>
      </c>
      <c r="G8" s="12" t="s">
        <v>26</v>
      </c>
      <c r="H8" s="12">
        <v>33</v>
      </c>
      <c r="I8" s="12">
        <v>15</v>
      </c>
      <c r="J8" s="12">
        <v>18</v>
      </c>
      <c r="K8" s="14">
        <v>45328</v>
      </c>
      <c r="L8" s="14">
        <v>45388</v>
      </c>
      <c r="M8" s="12">
        <v>60</v>
      </c>
      <c r="N8" s="12">
        <v>300</v>
      </c>
      <c r="O8" s="12" t="s">
        <v>52</v>
      </c>
      <c r="P8" s="12" t="s">
        <v>34</v>
      </c>
    </row>
    <row r="9" spans="1:24" x14ac:dyDescent="0.3">
      <c r="A9" s="12">
        <v>108</v>
      </c>
      <c r="B9" s="12" t="s">
        <v>53</v>
      </c>
      <c r="C9" s="12" t="s">
        <v>54</v>
      </c>
      <c r="D9" s="12" t="s">
        <v>18</v>
      </c>
      <c r="E9" s="12" t="s">
        <v>55</v>
      </c>
      <c r="F9" s="12">
        <v>814</v>
      </c>
      <c r="G9" s="12" t="s">
        <v>32</v>
      </c>
      <c r="H9" s="12">
        <v>48</v>
      </c>
      <c r="I9" s="12">
        <v>31</v>
      </c>
      <c r="J9" s="12">
        <v>17</v>
      </c>
      <c r="K9" s="14">
        <v>45329</v>
      </c>
      <c r="L9" s="14">
        <v>45401</v>
      </c>
      <c r="M9" s="12">
        <v>72</v>
      </c>
      <c r="N9" s="12">
        <v>620</v>
      </c>
      <c r="O9" s="12" t="s">
        <v>56</v>
      </c>
      <c r="P9" s="12" t="s">
        <v>28</v>
      </c>
      <c r="S9" s="19" t="s">
        <v>832</v>
      </c>
      <c r="T9" s="19"/>
      <c r="U9" s="19"/>
      <c r="V9" s="19"/>
      <c r="W9" s="19"/>
    </row>
    <row r="10" spans="1:24" x14ac:dyDescent="0.3">
      <c r="A10" s="12">
        <v>109</v>
      </c>
      <c r="B10" s="12" t="s">
        <v>57</v>
      </c>
      <c r="C10" s="12" t="s">
        <v>58</v>
      </c>
      <c r="D10" s="12" t="s">
        <v>18</v>
      </c>
      <c r="E10" s="12" t="s">
        <v>59</v>
      </c>
      <c r="F10" s="12">
        <v>321</v>
      </c>
      <c r="G10" s="12" t="s">
        <v>38</v>
      </c>
      <c r="H10" s="12">
        <v>40</v>
      </c>
      <c r="I10" s="12">
        <v>38</v>
      </c>
      <c r="J10" s="12">
        <v>2</v>
      </c>
      <c r="K10" s="14">
        <v>45330</v>
      </c>
      <c r="L10" s="14">
        <v>45412</v>
      </c>
      <c r="M10" s="12">
        <v>82</v>
      </c>
      <c r="N10" s="12">
        <v>760</v>
      </c>
      <c r="O10" s="12" t="s">
        <v>60</v>
      </c>
      <c r="P10" s="12" t="s">
        <v>28</v>
      </c>
    </row>
    <row r="11" spans="1:24" x14ac:dyDescent="0.3">
      <c r="A11" s="12">
        <v>110</v>
      </c>
      <c r="B11" s="12" t="s">
        <v>62</v>
      </c>
      <c r="C11" s="12" t="s">
        <v>63</v>
      </c>
      <c r="D11" s="12" t="s">
        <v>18</v>
      </c>
      <c r="E11" s="12" t="s">
        <v>64</v>
      </c>
      <c r="F11" s="12">
        <v>666</v>
      </c>
      <c r="G11" s="12" t="s">
        <v>65</v>
      </c>
      <c r="H11" s="12">
        <v>47</v>
      </c>
      <c r="I11" s="12">
        <v>30</v>
      </c>
      <c r="J11" s="12">
        <v>17</v>
      </c>
      <c r="K11" s="14">
        <v>45331</v>
      </c>
      <c r="L11" s="14">
        <v>45416</v>
      </c>
      <c r="M11" s="12">
        <v>85</v>
      </c>
      <c r="N11" s="12">
        <v>600</v>
      </c>
      <c r="O11" s="12" t="s">
        <v>66</v>
      </c>
      <c r="P11" s="12" t="s">
        <v>28</v>
      </c>
      <c r="T11" s="9" t="str">
        <f>HLOOKUP("Book_Title", A1:Q299, 125, FALSE)</f>
        <v>Project Management</v>
      </c>
    </row>
    <row r="12" spans="1:24" x14ac:dyDescent="0.3">
      <c r="A12" s="12">
        <v>111</v>
      </c>
      <c r="B12" s="12" t="s">
        <v>67</v>
      </c>
      <c r="C12" s="12" t="s">
        <v>68</v>
      </c>
      <c r="D12" s="12" t="s">
        <v>18</v>
      </c>
      <c r="E12" s="12" t="s">
        <v>69</v>
      </c>
      <c r="F12" s="12">
        <v>414</v>
      </c>
      <c r="G12" s="12" t="s">
        <v>20</v>
      </c>
      <c r="H12" s="12">
        <v>44</v>
      </c>
      <c r="I12" s="12">
        <v>22</v>
      </c>
      <c r="J12" s="12">
        <v>22</v>
      </c>
      <c r="K12" s="14">
        <v>45332</v>
      </c>
      <c r="L12" s="14">
        <v>45429</v>
      </c>
      <c r="M12" s="12">
        <v>97</v>
      </c>
      <c r="N12" s="12">
        <v>440</v>
      </c>
      <c r="O12" s="12" t="s">
        <v>70</v>
      </c>
      <c r="P12" s="12" t="s">
        <v>28</v>
      </c>
    </row>
    <row r="13" spans="1:24" x14ac:dyDescent="0.3">
      <c r="A13" s="12">
        <v>112</v>
      </c>
      <c r="B13" s="12" t="s">
        <v>71</v>
      </c>
      <c r="C13" s="12" t="s">
        <v>72</v>
      </c>
      <c r="D13" s="12" t="s">
        <v>18</v>
      </c>
      <c r="E13" s="12" t="s">
        <v>73</v>
      </c>
      <c r="F13" s="12">
        <v>530</v>
      </c>
      <c r="G13" s="12" t="s">
        <v>38</v>
      </c>
      <c r="H13" s="12">
        <v>29</v>
      </c>
      <c r="I13" s="12">
        <v>10</v>
      </c>
      <c r="J13" s="12">
        <v>19</v>
      </c>
      <c r="K13" s="14">
        <v>45333</v>
      </c>
      <c r="L13" s="14">
        <v>45441</v>
      </c>
      <c r="M13" s="12">
        <v>108</v>
      </c>
      <c r="N13" s="12">
        <v>100</v>
      </c>
      <c r="O13" s="12" t="s">
        <v>74</v>
      </c>
      <c r="P13" s="12" t="s">
        <v>28</v>
      </c>
    </row>
    <row r="14" spans="1:24" x14ac:dyDescent="0.3">
      <c r="A14" s="12">
        <v>113</v>
      </c>
      <c r="B14" s="12" t="s">
        <v>75</v>
      </c>
      <c r="C14" s="12" t="s">
        <v>76</v>
      </c>
      <c r="D14" s="12" t="s">
        <v>18</v>
      </c>
      <c r="E14" s="12" t="s">
        <v>77</v>
      </c>
      <c r="F14" s="12">
        <v>658</v>
      </c>
      <c r="G14" s="12" t="s">
        <v>32</v>
      </c>
      <c r="H14" s="12">
        <v>38</v>
      </c>
      <c r="I14" s="12">
        <v>24</v>
      </c>
      <c r="J14" s="12">
        <v>14</v>
      </c>
      <c r="K14" s="14">
        <v>45334</v>
      </c>
      <c r="L14" s="14">
        <v>45445</v>
      </c>
      <c r="M14" s="12">
        <v>111</v>
      </c>
      <c r="N14" s="12">
        <v>480</v>
      </c>
      <c r="O14" s="12" t="s">
        <v>78</v>
      </c>
      <c r="P14" s="12" t="s">
        <v>28</v>
      </c>
      <c r="S14" s="29" t="s">
        <v>833</v>
      </c>
      <c r="T14" s="29"/>
      <c r="U14" s="29"/>
      <c r="V14" s="29"/>
      <c r="W14" s="29"/>
      <c r="X14" s="29"/>
    </row>
    <row r="15" spans="1:24" x14ac:dyDescent="0.3">
      <c r="A15" s="12">
        <v>114</v>
      </c>
      <c r="B15" s="12" t="s">
        <v>79</v>
      </c>
      <c r="C15" s="12" t="s">
        <v>80</v>
      </c>
      <c r="D15" s="12" t="s">
        <v>18</v>
      </c>
      <c r="E15" s="12" t="s">
        <v>81</v>
      </c>
      <c r="F15" s="12">
        <v>287</v>
      </c>
      <c r="G15" s="12" t="s">
        <v>20</v>
      </c>
      <c r="H15" s="12">
        <v>30</v>
      </c>
      <c r="I15" s="12">
        <v>11</v>
      </c>
      <c r="J15" s="12">
        <v>19</v>
      </c>
      <c r="K15" s="14">
        <v>45335</v>
      </c>
      <c r="L15" s="14">
        <v>45457</v>
      </c>
      <c r="M15" s="12">
        <v>122</v>
      </c>
      <c r="N15" s="12">
        <v>110</v>
      </c>
      <c r="O15" s="12" t="s">
        <v>82</v>
      </c>
      <c r="P15" s="12" t="s">
        <v>28</v>
      </c>
    </row>
    <row r="16" spans="1:24" x14ac:dyDescent="0.3">
      <c r="A16" s="12">
        <v>115</v>
      </c>
      <c r="B16" s="12" t="s">
        <v>61</v>
      </c>
      <c r="C16" s="12" t="s">
        <v>84</v>
      </c>
      <c r="D16" s="12" t="s">
        <v>18</v>
      </c>
      <c r="E16" s="12" t="s">
        <v>85</v>
      </c>
      <c r="F16" s="12">
        <v>572</v>
      </c>
      <c r="G16" s="12" t="s">
        <v>32</v>
      </c>
      <c r="H16" s="12">
        <v>46</v>
      </c>
      <c r="I16" s="12">
        <v>35</v>
      </c>
      <c r="J16" s="12">
        <v>11</v>
      </c>
      <c r="K16" s="14">
        <v>45336</v>
      </c>
      <c r="L16" s="14">
        <v>45470</v>
      </c>
      <c r="M16" s="12">
        <v>134</v>
      </c>
      <c r="N16" s="12">
        <v>700</v>
      </c>
      <c r="O16" s="12" t="s">
        <v>86</v>
      </c>
      <c r="P16" s="12" t="s">
        <v>34</v>
      </c>
      <c r="T16" s="11">
        <f>MATCH("Artificial Intelligence", B:B, 0)</f>
        <v>10</v>
      </c>
    </row>
    <row r="17" spans="1:22" x14ac:dyDescent="0.3">
      <c r="A17" s="12">
        <v>116</v>
      </c>
      <c r="B17" s="12" t="s">
        <v>87</v>
      </c>
      <c r="C17" s="12" t="s">
        <v>88</v>
      </c>
      <c r="D17" s="12" t="s">
        <v>18</v>
      </c>
      <c r="E17" s="12" t="s">
        <v>89</v>
      </c>
      <c r="F17" s="12">
        <v>299</v>
      </c>
      <c r="G17" s="12" t="s">
        <v>32</v>
      </c>
      <c r="H17" s="12">
        <v>35</v>
      </c>
      <c r="I17" s="12">
        <v>29</v>
      </c>
      <c r="J17" s="12">
        <v>6</v>
      </c>
      <c r="K17" s="14">
        <v>45337</v>
      </c>
      <c r="L17" s="14">
        <v>45478</v>
      </c>
      <c r="M17" s="12">
        <v>141</v>
      </c>
      <c r="N17" s="12">
        <v>580</v>
      </c>
      <c r="O17" s="12" t="s">
        <v>90</v>
      </c>
      <c r="P17" s="12" t="s">
        <v>28</v>
      </c>
    </row>
    <row r="18" spans="1:22" x14ac:dyDescent="0.3">
      <c r="A18" s="12">
        <v>117</v>
      </c>
      <c r="B18" s="12" t="s">
        <v>91</v>
      </c>
      <c r="C18" s="12" t="s">
        <v>92</v>
      </c>
      <c r="D18" s="12" t="s">
        <v>18</v>
      </c>
      <c r="E18" s="12" t="s">
        <v>93</v>
      </c>
      <c r="F18" s="12">
        <v>863</v>
      </c>
      <c r="G18" s="12" t="s">
        <v>65</v>
      </c>
      <c r="H18" s="12">
        <v>32</v>
      </c>
      <c r="I18" s="12">
        <v>27</v>
      </c>
      <c r="J18" s="12">
        <v>5</v>
      </c>
      <c r="K18" s="14">
        <v>45338</v>
      </c>
      <c r="L18" s="14">
        <v>45491</v>
      </c>
      <c r="M18" s="12">
        <v>153</v>
      </c>
      <c r="N18" s="12">
        <v>540</v>
      </c>
      <c r="O18" s="12" t="s">
        <v>94</v>
      </c>
      <c r="P18" s="12" t="s">
        <v>28</v>
      </c>
    </row>
    <row r="19" spans="1:22" x14ac:dyDescent="0.3">
      <c r="A19" s="12">
        <v>118</v>
      </c>
      <c r="B19" s="12" t="s">
        <v>95</v>
      </c>
      <c r="C19" s="12" t="s">
        <v>96</v>
      </c>
      <c r="D19" s="12" t="s">
        <v>18</v>
      </c>
      <c r="E19" s="12" t="s">
        <v>97</v>
      </c>
      <c r="F19" s="12">
        <v>330</v>
      </c>
      <c r="G19" s="12" t="s">
        <v>20</v>
      </c>
      <c r="H19" s="12">
        <v>43</v>
      </c>
      <c r="I19" s="12">
        <v>20</v>
      </c>
      <c r="J19" s="12">
        <v>23</v>
      </c>
      <c r="K19" s="14">
        <v>45339</v>
      </c>
      <c r="L19" s="14">
        <v>45504</v>
      </c>
      <c r="M19" s="12">
        <v>165</v>
      </c>
      <c r="N19" s="12">
        <v>400</v>
      </c>
      <c r="O19" s="12" t="s">
        <v>98</v>
      </c>
      <c r="P19" s="12" t="s">
        <v>22</v>
      </c>
      <c r="S19" s="22" t="s">
        <v>834</v>
      </c>
      <c r="T19" s="22"/>
      <c r="U19" s="22"/>
    </row>
    <row r="20" spans="1:22" x14ac:dyDescent="0.3">
      <c r="A20" s="12">
        <v>119</v>
      </c>
      <c r="B20" s="12" t="s">
        <v>99</v>
      </c>
      <c r="C20" s="12" t="s">
        <v>100</v>
      </c>
      <c r="D20" s="12" t="s">
        <v>18</v>
      </c>
      <c r="E20" s="12" t="s">
        <v>101</v>
      </c>
      <c r="F20" s="12">
        <v>861</v>
      </c>
      <c r="G20" s="12" t="s">
        <v>20</v>
      </c>
      <c r="H20" s="12">
        <v>41</v>
      </c>
      <c r="I20" s="12">
        <v>19</v>
      </c>
      <c r="J20" s="12">
        <v>22</v>
      </c>
      <c r="K20" s="14">
        <v>45340</v>
      </c>
      <c r="L20" s="14">
        <v>45507</v>
      </c>
      <c r="M20" s="12">
        <v>167</v>
      </c>
      <c r="N20" s="12">
        <v>380</v>
      </c>
      <c r="O20" s="12" t="s">
        <v>102</v>
      </c>
      <c r="P20" s="12" t="s">
        <v>28</v>
      </c>
    </row>
    <row r="21" spans="1:22" x14ac:dyDescent="0.3">
      <c r="A21" s="12">
        <v>120</v>
      </c>
      <c r="B21" s="12" t="s">
        <v>103</v>
      </c>
      <c r="C21" s="12" t="s">
        <v>104</v>
      </c>
      <c r="D21" s="12" t="s">
        <v>18</v>
      </c>
      <c r="E21" s="12" t="s">
        <v>105</v>
      </c>
      <c r="F21" s="12">
        <v>508</v>
      </c>
      <c r="G21" s="12" t="s">
        <v>65</v>
      </c>
      <c r="H21" s="12">
        <v>39</v>
      </c>
      <c r="I21" s="12">
        <v>21</v>
      </c>
      <c r="J21" s="12">
        <v>18</v>
      </c>
      <c r="K21" s="14">
        <v>45341</v>
      </c>
      <c r="L21" s="14">
        <v>45520</v>
      </c>
      <c r="M21" s="12">
        <v>179</v>
      </c>
      <c r="N21" s="12">
        <v>420</v>
      </c>
      <c r="O21" s="12" t="s">
        <v>106</v>
      </c>
      <c r="P21" s="12" t="s">
        <v>107</v>
      </c>
      <c r="T21" s="2" t="str">
        <f>INDEX(C:C, 120)</f>
        <v>Gary Dessler</v>
      </c>
    </row>
    <row r="22" spans="1:22" x14ac:dyDescent="0.3">
      <c r="A22" s="12">
        <v>121</v>
      </c>
      <c r="B22" s="12" t="s">
        <v>108</v>
      </c>
      <c r="C22" s="12" t="s">
        <v>109</v>
      </c>
      <c r="D22" s="12" t="s">
        <v>18</v>
      </c>
      <c r="E22" s="12" t="s">
        <v>110</v>
      </c>
      <c r="F22" s="12">
        <v>969</v>
      </c>
      <c r="G22" s="12" t="s">
        <v>38</v>
      </c>
      <c r="H22" s="12">
        <v>27</v>
      </c>
      <c r="I22" s="12">
        <v>12</v>
      </c>
      <c r="J22" s="12">
        <v>15</v>
      </c>
      <c r="K22" s="14">
        <v>45342</v>
      </c>
      <c r="L22" s="14">
        <v>45532</v>
      </c>
      <c r="M22" s="12">
        <v>190</v>
      </c>
      <c r="N22" s="12">
        <v>240</v>
      </c>
      <c r="O22" s="12" t="s">
        <v>111</v>
      </c>
      <c r="P22" s="12" t="s">
        <v>28</v>
      </c>
    </row>
    <row r="23" spans="1:22" x14ac:dyDescent="0.3">
      <c r="A23" s="12">
        <v>122</v>
      </c>
      <c r="B23" s="12" t="s">
        <v>112</v>
      </c>
      <c r="C23" s="12" t="s">
        <v>113</v>
      </c>
      <c r="D23" s="12" t="s">
        <v>18</v>
      </c>
      <c r="E23" s="12" t="s">
        <v>114</v>
      </c>
      <c r="F23" s="12">
        <v>543</v>
      </c>
      <c r="G23" s="12" t="s">
        <v>32</v>
      </c>
      <c r="H23" s="12">
        <v>36</v>
      </c>
      <c r="I23" s="12">
        <v>26</v>
      </c>
      <c r="J23" s="12">
        <v>10</v>
      </c>
      <c r="K23" s="14">
        <v>45343</v>
      </c>
      <c r="L23" s="14">
        <v>45541</v>
      </c>
      <c r="M23" s="12">
        <v>198</v>
      </c>
      <c r="N23" s="12">
        <v>520</v>
      </c>
      <c r="O23" s="12" t="s">
        <v>115</v>
      </c>
      <c r="P23" s="12" t="s">
        <v>34</v>
      </c>
      <c r="S23" s="26" t="s">
        <v>835</v>
      </c>
      <c r="T23" s="26"/>
      <c r="U23" s="26"/>
      <c r="V23" s="26"/>
    </row>
    <row r="24" spans="1:22" x14ac:dyDescent="0.3">
      <c r="A24" s="12">
        <v>123</v>
      </c>
      <c r="B24" s="12" t="s">
        <v>116</v>
      </c>
      <c r="C24" s="12" t="s">
        <v>117</v>
      </c>
      <c r="D24" s="12" t="s">
        <v>18</v>
      </c>
      <c r="E24" s="12" t="s">
        <v>118</v>
      </c>
      <c r="F24" s="12">
        <v>691</v>
      </c>
      <c r="G24" s="12" t="s">
        <v>26</v>
      </c>
      <c r="H24" s="12">
        <v>34</v>
      </c>
      <c r="I24" s="12">
        <v>18</v>
      </c>
      <c r="J24" s="12">
        <v>16</v>
      </c>
      <c r="K24" s="14">
        <v>45344</v>
      </c>
      <c r="L24" s="14">
        <v>45554</v>
      </c>
      <c r="M24" s="12">
        <v>210</v>
      </c>
      <c r="N24" s="12">
        <v>360</v>
      </c>
      <c r="O24" s="12" t="s">
        <v>119</v>
      </c>
      <c r="P24" s="12" t="s">
        <v>22</v>
      </c>
    </row>
    <row r="25" spans="1:22" x14ac:dyDescent="0.3">
      <c r="A25" s="12">
        <v>124</v>
      </c>
      <c r="B25" s="12" t="s">
        <v>120</v>
      </c>
      <c r="C25" s="12" t="s">
        <v>121</v>
      </c>
      <c r="D25" s="12" t="s">
        <v>18</v>
      </c>
      <c r="E25" s="12" t="s">
        <v>122</v>
      </c>
      <c r="F25" s="12">
        <v>613</v>
      </c>
      <c r="G25" s="12" t="s">
        <v>32</v>
      </c>
      <c r="H25" s="12">
        <v>25</v>
      </c>
      <c r="I25" s="12">
        <v>9</v>
      </c>
      <c r="J25" s="12">
        <v>16</v>
      </c>
      <c r="K25" s="14">
        <v>45345</v>
      </c>
      <c r="L25" s="14">
        <v>45565</v>
      </c>
      <c r="M25" s="12">
        <v>220</v>
      </c>
      <c r="N25" s="12">
        <v>900</v>
      </c>
      <c r="O25" s="12" t="s">
        <v>123</v>
      </c>
      <c r="P25" s="12" t="s">
        <v>28</v>
      </c>
      <c r="T25" s="6">
        <f>INDEX(F:F, MATCH("Deep Learning", B:B, 0))</f>
        <v>414</v>
      </c>
    </row>
    <row r="26" spans="1:22" x14ac:dyDescent="0.3">
      <c r="A26" s="12">
        <v>125</v>
      </c>
      <c r="B26" s="12" t="s">
        <v>124</v>
      </c>
      <c r="C26" s="12" t="s">
        <v>125</v>
      </c>
      <c r="D26" s="12" t="s">
        <v>18</v>
      </c>
      <c r="E26" s="12" t="s">
        <v>126</v>
      </c>
      <c r="F26" s="12">
        <v>585</v>
      </c>
      <c r="G26" s="12" t="s">
        <v>32</v>
      </c>
      <c r="H26" s="12">
        <v>26</v>
      </c>
      <c r="I26" s="12">
        <v>13</v>
      </c>
      <c r="J26" s="12">
        <v>13</v>
      </c>
      <c r="K26" s="14">
        <v>45346</v>
      </c>
      <c r="L26" s="14">
        <v>45569</v>
      </c>
      <c r="M26" s="12">
        <v>223</v>
      </c>
      <c r="N26" s="12">
        <v>130</v>
      </c>
      <c r="O26" s="12" t="s">
        <v>127</v>
      </c>
      <c r="P26" s="12" t="s">
        <v>28</v>
      </c>
    </row>
    <row r="27" spans="1:22" x14ac:dyDescent="0.3">
      <c r="A27" s="12">
        <v>126</v>
      </c>
      <c r="B27" s="12" t="s">
        <v>128</v>
      </c>
      <c r="C27" s="12" t="s">
        <v>129</v>
      </c>
      <c r="D27" s="12" t="s">
        <v>18</v>
      </c>
      <c r="E27" s="12" t="s">
        <v>130</v>
      </c>
      <c r="F27" s="12">
        <v>391</v>
      </c>
      <c r="G27" s="12" t="s">
        <v>38</v>
      </c>
      <c r="H27" s="12">
        <v>22</v>
      </c>
      <c r="I27" s="12">
        <v>7</v>
      </c>
      <c r="J27" s="12">
        <v>15</v>
      </c>
      <c r="K27" s="14">
        <v>45347</v>
      </c>
      <c r="L27" s="14">
        <v>45582</v>
      </c>
      <c r="M27" s="12">
        <v>235</v>
      </c>
      <c r="N27" s="12">
        <v>140</v>
      </c>
      <c r="O27" s="12" t="s">
        <v>131</v>
      </c>
      <c r="P27" s="12" t="s">
        <v>34</v>
      </c>
    </row>
    <row r="28" spans="1:22" x14ac:dyDescent="0.3">
      <c r="A28" s="12">
        <v>127</v>
      </c>
      <c r="B28" s="12" t="s">
        <v>132</v>
      </c>
      <c r="C28" s="12" t="s">
        <v>133</v>
      </c>
      <c r="D28" s="12" t="s">
        <v>18</v>
      </c>
      <c r="E28" s="12" t="s">
        <v>134</v>
      </c>
      <c r="F28" s="12">
        <v>476</v>
      </c>
      <c r="G28" s="12" t="s">
        <v>32</v>
      </c>
      <c r="H28" s="12">
        <v>24</v>
      </c>
      <c r="I28" s="12">
        <v>15</v>
      </c>
      <c r="J28" s="12">
        <v>9</v>
      </c>
      <c r="K28" s="14">
        <v>45348</v>
      </c>
      <c r="L28" s="14">
        <v>45594</v>
      </c>
      <c r="M28" s="12">
        <v>246</v>
      </c>
      <c r="N28" s="12">
        <v>240</v>
      </c>
      <c r="O28" s="12" t="s">
        <v>135</v>
      </c>
      <c r="P28" s="12" t="s">
        <v>28</v>
      </c>
    </row>
    <row r="29" spans="1:22" x14ac:dyDescent="0.3">
      <c r="A29" s="12">
        <v>128</v>
      </c>
      <c r="B29" s="12" t="s">
        <v>136</v>
      </c>
      <c r="C29" s="12" t="s">
        <v>137</v>
      </c>
      <c r="D29" s="12" t="s">
        <v>138</v>
      </c>
      <c r="E29" s="12" t="s">
        <v>139</v>
      </c>
      <c r="F29" s="12">
        <v>360</v>
      </c>
      <c r="G29" s="12" t="s">
        <v>65</v>
      </c>
      <c r="H29" s="12">
        <v>23</v>
      </c>
      <c r="I29" s="12">
        <v>14</v>
      </c>
      <c r="J29" s="12">
        <v>9</v>
      </c>
      <c r="K29" s="14">
        <v>45349</v>
      </c>
      <c r="L29" s="14">
        <v>45598</v>
      </c>
      <c r="M29" s="12">
        <v>249</v>
      </c>
      <c r="N29" s="12">
        <v>280</v>
      </c>
      <c r="O29" s="12" t="s">
        <v>140</v>
      </c>
      <c r="P29" s="12" t="s">
        <v>28</v>
      </c>
    </row>
    <row r="30" spans="1:22" x14ac:dyDescent="0.3">
      <c r="A30" s="12">
        <v>129</v>
      </c>
      <c r="B30" s="12" t="s">
        <v>141</v>
      </c>
      <c r="C30" s="12" t="s">
        <v>142</v>
      </c>
      <c r="D30" s="12" t="s">
        <v>138</v>
      </c>
      <c r="E30" s="12" t="s">
        <v>143</v>
      </c>
      <c r="F30" s="12">
        <v>659</v>
      </c>
      <c r="G30" s="12" t="s">
        <v>65</v>
      </c>
      <c r="H30" s="12">
        <v>21</v>
      </c>
      <c r="I30" s="12">
        <v>16</v>
      </c>
      <c r="J30" s="12">
        <v>5</v>
      </c>
      <c r="K30" s="14">
        <v>45350</v>
      </c>
      <c r="L30" s="14">
        <v>45611</v>
      </c>
      <c r="M30" s="12">
        <v>261</v>
      </c>
      <c r="N30" s="12">
        <v>320</v>
      </c>
      <c r="O30" s="12" t="s">
        <v>144</v>
      </c>
      <c r="P30" s="12" t="s">
        <v>28</v>
      </c>
    </row>
    <row r="31" spans="1:22" x14ac:dyDescent="0.3">
      <c r="A31" s="12">
        <v>130</v>
      </c>
      <c r="B31" s="12" t="s">
        <v>145</v>
      </c>
      <c r="C31" s="12" t="s">
        <v>146</v>
      </c>
      <c r="D31" s="12" t="s">
        <v>138</v>
      </c>
      <c r="E31" s="12" t="s">
        <v>147</v>
      </c>
      <c r="F31" s="12">
        <v>513</v>
      </c>
      <c r="G31" s="12" t="s">
        <v>20</v>
      </c>
      <c r="H31" s="12">
        <v>20</v>
      </c>
      <c r="I31" s="12">
        <v>11</v>
      </c>
      <c r="J31" s="12">
        <v>9</v>
      </c>
      <c r="K31" s="14">
        <v>45351</v>
      </c>
      <c r="L31" s="14">
        <v>45624</v>
      </c>
      <c r="M31" s="12">
        <v>273</v>
      </c>
      <c r="N31" s="12">
        <v>200</v>
      </c>
      <c r="O31" s="12" t="s">
        <v>148</v>
      </c>
      <c r="P31" s="12" t="s">
        <v>22</v>
      </c>
    </row>
    <row r="32" spans="1:22" x14ac:dyDescent="0.3">
      <c r="A32" s="12">
        <v>131</v>
      </c>
      <c r="B32" s="12" t="s">
        <v>149</v>
      </c>
      <c r="C32" s="12" t="s">
        <v>150</v>
      </c>
      <c r="D32" s="12" t="s">
        <v>138</v>
      </c>
      <c r="E32" s="12" t="s">
        <v>151</v>
      </c>
      <c r="F32" s="12">
        <v>221</v>
      </c>
      <c r="G32" s="12" t="s">
        <v>26</v>
      </c>
      <c r="H32" s="12">
        <v>19</v>
      </c>
      <c r="I32" s="12">
        <v>10</v>
      </c>
      <c r="J32" s="12">
        <v>9</v>
      </c>
      <c r="K32" s="14">
        <v>45352</v>
      </c>
      <c r="L32" s="14">
        <v>45631</v>
      </c>
      <c r="M32" s="12">
        <v>279</v>
      </c>
      <c r="N32" s="12">
        <v>100</v>
      </c>
      <c r="O32" s="12" t="s">
        <v>152</v>
      </c>
      <c r="P32" s="12" t="s">
        <v>34</v>
      </c>
    </row>
    <row r="33" spans="1:16" x14ac:dyDescent="0.3">
      <c r="A33" s="12">
        <v>132</v>
      </c>
      <c r="B33" s="12" t="s">
        <v>153</v>
      </c>
      <c r="C33" s="12" t="s">
        <v>154</v>
      </c>
      <c r="D33" s="12" t="s">
        <v>138</v>
      </c>
      <c r="E33" s="12" t="s">
        <v>155</v>
      </c>
      <c r="F33" s="12">
        <v>452</v>
      </c>
      <c r="G33" s="12" t="s">
        <v>32</v>
      </c>
      <c r="H33" s="12">
        <v>18</v>
      </c>
      <c r="I33" s="12">
        <v>6</v>
      </c>
      <c r="J33" s="12">
        <v>12</v>
      </c>
      <c r="K33" s="14">
        <v>45353</v>
      </c>
      <c r="L33" s="14">
        <v>45644</v>
      </c>
      <c r="M33" s="12">
        <v>291</v>
      </c>
      <c r="N33" s="12">
        <v>600</v>
      </c>
      <c r="O33" s="12" t="s">
        <v>156</v>
      </c>
      <c r="P33" s="12" t="s">
        <v>28</v>
      </c>
    </row>
    <row r="34" spans="1:16" x14ac:dyDescent="0.3">
      <c r="A34" s="12">
        <v>133</v>
      </c>
      <c r="B34" s="12" t="s">
        <v>157</v>
      </c>
      <c r="C34" s="12" t="s">
        <v>158</v>
      </c>
      <c r="D34" s="12" t="s">
        <v>138</v>
      </c>
      <c r="E34" s="12" t="s">
        <v>159</v>
      </c>
      <c r="F34" s="12">
        <v>947</v>
      </c>
      <c r="G34" s="12" t="s">
        <v>32</v>
      </c>
      <c r="H34" s="12">
        <v>17</v>
      </c>
      <c r="I34" s="12">
        <v>8</v>
      </c>
      <c r="J34" s="12">
        <v>9</v>
      </c>
      <c r="K34" s="14">
        <v>45354</v>
      </c>
      <c r="L34" s="14">
        <v>45656</v>
      </c>
      <c r="M34" s="12">
        <v>302</v>
      </c>
      <c r="N34" s="12">
        <v>480</v>
      </c>
      <c r="O34" s="12" t="s">
        <v>160</v>
      </c>
      <c r="P34" s="12" t="s">
        <v>28</v>
      </c>
    </row>
    <row r="35" spans="1:16" x14ac:dyDescent="0.3">
      <c r="A35" s="12">
        <v>134</v>
      </c>
      <c r="B35" s="12" t="s">
        <v>161</v>
      </c>
      <c r="C35" s="12" t="s">
        <v>162</v>
      </c>
      <c r="D35" s="12" t="s">
        <v>138</v>
      </c>
      <c r="E35" s="12" t="s">
        <v>163</v>
      </c>
      <c r="F35" s="12">
        <v>760</v>
      </c>
      <c r="G35" s="12" t="s">
        <v>38</v>
      </c>
      <c r="H35" s="12">
        <v>16</v>
      </c>
      <c r="I35" s="12">
        <v>4</v>
      </c>
      <c r="J35" s="12">
        <v>12</v>
      </c>
      <c r="K35" s="14">
        <v>45355</v>
      </c>
      <c r="L35" s="14">
        <v>45661</v>
      </c>
      <c r="M35" s="12">
        <v>306</v>
      </c>
      <c r="N35" s="12">
        <v>320</v>
      </c>
      <c r="O35" s="12" t="s">
        <v>164</v>
      </c>
      <c r="P35" s="12" t="s">
        <v>34</v>
      </c>
    </row>
    <row r="36" spans="1:16" x14ac:dyDescent="0.3">
      <c r="A36" s="12">
        <v>135</v>
      </c>
      <c r="B36" s="12" t="s">
        <v>165</v>
      </c>
      <c r="C36" s="12" t="s">
        <v>166</v>
      </c>
      <c r="D36" s="12" t="s">
        <v>138</v>
      </c>
      <c r="E36" s="12" t="s">
        <v>167</v>
      </c>
      <c r="F36" s="12">
        <v>674</v>
      </c>
      <c r="G36" s="12" t="s">
        <v>65</v>
      </c>
      <c r="H36" s="12">
        <v>15</v>
      </c>
      <c r="I36" s="12">
        <v>9</v>
      </c>
      <c r="J36" s="12">
        <v>6</v>
      </c>
      <c r="K36" s="14">
        <v>45356</v>
      </c>
      <c r="L36" s="14">
        <v>45673</v>
      </c>
      <c r="M36" s="12">
        <v>317</v>
      </c>
      <c r="N36" s="12">
        <v>340</v>
      </c>
      <c r="O36" s="12" t="s">
        <v>168</v>
      </c>
      <c r="P36" s="12" t="s">
        <v>28</v>
      </c>
    </row>
    <row r="37" spans="1:16" x14ac:dyDescent="0.3">
      <c r="A37" s="12">
        <v>136</v>
      </c>
      <c r="B37" s="12" t="s">
        <v>169</v>
      </c>
      <c r="C37" s="12" t="s">
        <v>170</v>
      </c>
      <c r="D37" s="12" t="s">
        <v>138</v>
      </c>
      <c r="E37" s="12" t="s">
        <v>171</v>
      </c>
      <c r="F37" s="12">
        <v>258</v>
      </c>
      <c r="G37" s="12" t="s">
        <v>26</v>
      </c>
      <c r="H37" s="12">
        <v>14</v>
      </c>
      <c r="I37" s="12">
        <v>5</v>
      </c>
      <c r="J37" s="12">
        <v>9</v>
      </c>
      <c r="K37" s="14">
        <v>45357</v>
      </c>
      <c r="L37" s="14">
        <v>45686</v>
      </c>
      <c r="M37" s="12">
        <v>329</v>
      </c>
      <c r="N37" s="12">
        <v>360</v>
      </c>
      <c r="O37" s="12" t="s">
        <v>172</v>
      </c>
      <c r="P37" s="12" t="s">
        <v>28</v>
      </c>
    </row>
    <row r="38" spans="1:16" x14ac:dyDescent="0.3">
      <c r="A38" s="12">
        <v>137</v>
      </c>
      <c r="B38" s="12" t="s">
        <v>173</v>
      </c>
      <c r="C38" s="12" t="s">
        <v>174</v>
      </c>
      <c r="D38" s="12" t="s">
        <v>138</v>
      </c>
      <c r="E38" s="12" t="s">
        <v>175</v>
      </c>
      <c r="F38" s="12">
        <v>710</v>
      </c>
      <c r="G38" s="12" t="s">
        <v>20</v>
      </c>
      <c r="H38" s="12">
        <v>13</v>
      </c>
      <c r="I38" s="12">
        <v>7</v>
      </c>
      <c r="J38" s="12">
        <v>6</v>
      </c>
      <c r="K38" s="14">
        <v>45358</v>
      </c>
      <c r="L38" s="14">
        <v>45694</v>
      </c>
      <c r="M38" s="12">
        <v>336</v>
      </c>
      <c r="N38" s="12">
        <v>400</v>
      </c>
      <c r="O38" s="12" t="s">
        <v>176</v>
      </c>
      <c r="P38" s="12" t="s">
        <v>28</v>
      </c>
    </row>
    <row r="39" spans="1:16" x14ac:dyDescent="0.3">
      <c r="A39" s="12">
        <v>138</v>
      </c>
      <c r="B39" s="12" t="s">
        <v>177</v>
      </c>
      <c r="C39" s="12" t="s">
        <v>178</v>
      </c>
      <c r="D39" s="12" t="s">
        <v>138</v>
      </c>
      <c r="E39" s="12" t="s">
        <v>179</v>
      </c>
      <c r="F39" s="12">
        <v>881</v>
      </c>
      <c r="G39" s="12" t="s">
        <v>65</v>
      </c>
      <c r="H39" s="12">
        <v>12</v>
      </c>
      <c r="I39" s="12">
        <v>3</v>
      </c>
      <c r="J39" s="12">
        <v>9</v>
      </c>
      <c r="K39" s="14">
        <v>45359</v>
      </c>
      <c r="L39" s="14">
        <v>45706</v>
      </c>
      <c r="M39" s="12">
        <v>347</v>
      </c>
      <c r="N39" s="12">
        <v>420</v>
      </c>
      <c r="O39" s="12" t="s">
        <v>180</v>
      </c>
      <c r="P39" s="12" t="s">
        <v>34</v>
      </c>
    </row>
    <row r="40" spans="1:16" x14ac:dyDescent="0.3">
      <c r="A40" s="12">
        <v>139</v>
      </c>
      <c r="B40" s="12" t="s">
        <v>181</v>
      </c>
      <c r="C40" s="12" t="s">
        <v>182</v>
      </c>
      <c r="D40" s="12" t="s">
        <v>183</v>
      </c>
      <c r="E40" s="12" t="s">
        <v>184</v>
      </c>
      <c r="F40" s="12">
        <v>675</v>
      </c>
      <c r="G40" s="12" t="s">
        <v>20</v>
      </c>
      <c r="H40" s="12">
        <v>11</v>
      </c>
      <c r="I40" s="12">
        <v>6</v>
      </c>
      <c r="J40" s="12">
        <v>5</v>
      </c>
      <c r="K40" s="14">
        <v>45360</v>
      </c>
      <c r="L40" s="14">
        <v>45715</v>
      </c>
      <c r="M40" s="12">
        <v>355</v>
      </c>
      <c r="N40" s="12">
        <v>440</v>
      </c>
      <c r="O40" s="12" t="s">
        <v>185</v>
      </c>
      <c r="P40" s="12" t="s">
        <v>28</v>
      </c>
    </row>
    <row r="41" spans="1:16" x14ac:dyDescent="0.3">
      <c r="A41" s="12">
        <v>140</v>
      </c>
      <c r="B41" s="12" t="s">
        <v>186</v>
      </c>
      <c r="C41" s="12" t="s">
        <v>187</v>
      </c>
      <c r="D41" s="12" t="s">
        <v>183</v>
      </c>
      <c r="E41" s="12" t="s">
        <v>188</v>
      </c>
      <c r="F41" s="12">
        <v>899</v>
      </c>
      <c r="G41" s="12" t="s">
        <v>38</v>
      </c>
      <c r="H41" s="12">
        <v>10</v>
      </c>
      <c r="I41" s="12">
        <v>4</v>
      </c>
      <c r="J41" s="12">
        <v>6</v>
      </c>
      <c r="K41" s="14">
        <v>45361</v>
      </c>
      <c r="L41" s="14">
        <v>45721</v>
      </c>
      <c r="M41" s="12">
        <v>360</v>
      </c>
      <c r="N41" s="12">
        <v>460</v>
      </c>
      <c r="O41" s="12" t="s">
        <v>189</v>
      </c>
      <c r="P41" s="12" t="s">
        <v>34</v>
      </c>
    </row>
    <row r="42" spans="1:16" x14ac:dyDescent="0.3">
      <c r="A42" s="12">
        <v>141</v>
      </c>
      <c r="B42" s="12" t="s">
        <v>190</v>
      </c>
      <c r="C42" s="12" t="s">
        <v>191</v>
      </c>
      <c r="D42" s="12" t="s">
        <v>183</v>
      </c>
      <c r="E42" s="12" t="s">
        <v>192</v>
      </c>
      <c r="F42" s="12">
        <v>982</v>
      </c>
      <c r="G42" s="12" t="s">
        <v>38</v>
      </c>
      <c r="H42" s="12">
        <v>9</v>
      </c>
      <c r="I42" s="12">
        <v>3</v>
      </c>
      <c r="J42" s="12">
        <v>6</v>
      </c>
      <c r="K42" s="14">
        <v>45362</v>
      </c>
      <c r="L42" s="14">
        <v>45733</v>
      </c>
      <c r="M42" s="12">
        <v>371</v>
      </c>
      <c r="N42" s="12">
        <v>480</v>
      </c>
      <c r="O42" s="12" t="s">
        <v>193</v>
      </c>
      <c r="P42" s="12" t="s">
        <v>22</v>
      </c>
    </row>
    <row r="43" spans="1:16" x14ac:dyDescent="0.3">
      <c r="A43" s="12">
        <v>142</v>
      </c>
      <c r="B43" s="12" t="s">
        <v>194</v>
      </c>
      <c r="C43" s="12" t="s">
        <v>195</v>
      </c>
      <c r="D43" s="12" t="s">
        <v>183</v>
      </c>
      <c r="E43" s="12" t="s">
        <v>196</v>
      </c>
      <c r="F43" s="12">
        <v>389</v>
      </c>
      <c r="G43" s="12" t="s">
        <v>32</v>
      </c>
      <c r="H43" s="12">
        <v>8</v>
      </c>
      <c r="I43" s="12">
        <v>2</v>
      </c>
      <c r="J43" s="12">
        <v>6</v>
      </c>
      <c r="K43" s="14">
        <v>45363</v>
      </c>
      <c r="L43" s="14">
        <v>45744</v>
      </c>
      <c r="M43" s="12">
        <v>381</v>
      </c>
      <c r="N43" s="12">
        <v>300</v>
      </c>
      <c r="O43" s="12" t="s">
        <v>197</v>
      </c>
      <c r="P43" s="12" t="s">
        <v>34</v>
      </c>
    </row>
    <row r="44" spans="1:16" x14ac:dyDescent="0.3">
      <c r="A44" s="12">
        <v>143</v>
      </c>
      <c r="B44" s="12" t="s">
        <v>198</v>
      </c>
      <c r="C44" s="12" t="s">
        <v>199</v>
      </c>
      <c r="D44" s="12" t="s">
        <v>183</v>
      </c>
      <c r="E44" s="12" t="s">
        <v>200</v>
      </c>
      <c r="F44" s="12">
        <v>886</v>
      </c>
      <c r="G44" s="12" t="s">
        <v>26</v>
      </c>
      <c r="H44" s="12">
        <v>7</v>
      </c>
      <c r="I44" s="12">
        <v>1</v>
      </c>
      <c r="J44" s="12">
        <v>6</v>
      </c>
      <c r="K44" s="14">
        <v>45364</v>
      </c>
      <c r="L44" s="14">
        <v>45751</v>
      </c>
      <c r="M44" s="12">
        <v>387</v>
      </c>
      <c r="N44" s="12">
        <v>200</v>
      </c>
      <c r="O44" s="12" t="s">
        <v>201</v>
      </c>
      <c r="P44" s="12" t="s">
        <v>28</v>
      </c>
    </row>
    <row r="45" spans="1:16" x14ac:dyDescent="0.3">
      <c r="A45" s="12">
        <v>144</v>
      </c>
      <c r="B45" s="12" t="s">
        <v>202</v>
      </c>
      <c r="C45" s="12" t="s">
        <v>203</v>
      </c>
      <c r="D45" s="12" t="s">
        <v>183</v>
      </c>
      <c r="E45" s="12" t="s">
        <v>204</v>
      </c>
      <c r="F45" s="12">
        <v>762</v>
      </c>
      <c r="G45" s="12" t="s">
        <v>20</v>
      </c>
      <c r="H45" s="12">
        <v>6</v>
      </c>
      <c r="I45" s="12">
        <v>2</v>
      </c>
      <c r="J45" s="12">
        <v>4</v>
      </c>
      <c r="K45" s="14">
        <v>45365</v>
      </c>
      <c r="L45" s="14">
        <v>45763</v>
      </c>
      <c r="M45" s="12">
        <v>398</v>
      </c>
      <c r="N45" s="12">
        <v>180</v>
      </c>
      <c r="O45" s="12" t="s">
        <v>205</v>
      </c>
      <c r="P45" s="12" t="s">
        <v>107</v>
      </c>
    </row>
    <row r="46" spans="1:16" x14ac:dyDescent="0.3">
      <c r="A46" s="12">
        <v>145</v>
      </c>
      <c r="B46" s="12" t="s">
        <v>206</v>
      </c>
      <c r="C46" s="12" t="s">
        <v>207</v>
      </c>
      <c r="D46" s="12" t="s">
        <v>183</v>
      </c>
      <c r="E46" s="12" t="s">
        <v>208</v>
      </c>
      <c r="F46" s="12">
        <v>766</v>
      </c>
      <c r="G46" s="12" t="s">
        <v>65</v>
      </c>
      <c r="H46" s="12">
        <v>5</v>
      </c>
      <c r="I46" s="12">
        <v>1</v>
      </c>
      <c r="J46" s="12">
        <v>4</v>
      </c>
      <c r="K46" s="14">
        <v>45366</v>
      </c>
      <c r="L46" s="14">
        <v>45776</v>
      </c>
      <c r="M46" s="12">
        <v>410</v>
      </c>
      <c r="N46" s="12">
        <v>360</v>
      </c>
      <c r="O46" s="12" t="s">
        <v>209</v>
      </c>
      <c r="P46" s="12" t="s">
        <v>28</v>
      </c>
    </row>
    <row r="47" spans="1:16" x14ac:dyDescent="0.3">
      <c r="A47" s="12">
        <v>146</v>
      </c>
      <c r="B47" s="12" t="s">
        <v>210</v>
      </c>
      <c r="C47" s="12" t="s">
        <v>211</v>
      </c>
      <c r="D47" s="12" t="s">
        <v>183</v>
      </c>
      <c r="E47" s="12" t="s">
        <v>212</v>
      </c>
      <c r="F47" s="12">
        <v>443</v>
      </c>
      <c r="G47" s="12" t="s">
        <v>38</v>
      </c>
      <c r="H47" s="12">
        <v>4</v>
      </c>
      <c r="I47" s="12">
        <v>1</v>
      </c>
      <c r="J47" s="12">
        <v>3</v>
      </c>
      <c r="K47" s="14">
        <v>45367</v>
      </c>
      <c r="L47" s="14">
        <v>45782</v>
      </c>
      <c r="M47" s="12">
        <v>415</v>
      </c>
      <c r="N47" s="12">
        <v>240</v>
      </c>
      <c r="O47" s="12" t="s">
        <v>213</v>
      </c>
      <c r="P47" s="12" t="s">
        <v>22</v>
      </c>
    </row>
    <row r="48" spans="1:16" x14ac:dyDescent="0.3">
      <c r="A48" s="12">
        <v>147</v>
      </c>
      <c r="B48" s="12" t="s">
        <v>214</v>
      </c>
      <c r="C48" s="12" t="s">
        <v>215</v>
      </c>
      <c r="D48" s="12" t="s">
        <v>183</v>
      </c>
      <c r="E48" s="12" t="s">
        <v>216</v>
      </c>
      <c r="F48" s="12">
        <v>704</v>
      </c>
      <c r="G48" s="12" t="s">
        <v>32</v>
      </c>
      <c r="H48" s="12">
        <v>3</v>
      </c>
      <c r="I48" s="12">
        <v>1</v>
      </c>
      <c r="J48" s="12">
        <v>2</v>
      </c>
      <c r="K48" s="14">
        <v>45368</v>
      </c>
      <c r="L48" s="14">
        <v>45795</v>
      </c>
      <c r="M48" s="12">
        <v>427</v>
      </c>
      <c r="N48" s="12">
        <v>400</v>
      </c>
      <c r="O48" s="12" t="s">
        <v>217</v>
      </c>
      <c r="P48" s="12" t="s">
        <v>34</v>
      </c>
    </row>
    <row r="49" spans="1:16" x14ac:dyDescent="0.3">
      <c r="A49" s="12">
        <v>148</v>
      </c>
      <c r="B49" s="12" t="s">
        <v>218</v>
      </c>
      <c r="C49" s="12" t="s">
        <v>219</v>
      </c>
      <c r="D49" s="12" t="s">
        <v>183</v>
      </c>
      <c r="E49" s="12" t="s">
        <v>220</v>
      </c>
      <c r="F49" s="12">
        <v>330</v>
      </c>
      <c r="G49" s="12" t="s">
        <v>32</v>
      </c>
      <c r="H49" s="12">
        <v>2</v>
      </c>
      <c r="I49" s="12">
        <v>1</v>
      </c>
      <c r="J49" s="12">
        <v>1</v>
      </c>
      <c r="K49" s="14">
        <v>45369</v>
      </c>
      <c r="L49" s="14">
        <v>45807</v>
      </c>
      <c r="M49" s="12">
        <v>438</v>
      </c>
      <c r="N49" s="12">
        <v>320</v>
      </c>
      <c r="O49" s="12" t="s">
        <v>221</v>
      </c>
      <c r="P49" s="12" t="s">
        <v>28</v>
      </c>
    </row>
    <row r="50" spans="1:16" x14ac:dyDescent="0.3">
      <c r="A50" s="12">
        <v>149</v>
      </c>
      <c r="B50" s="12" t="s">
        <v>222</v>
      </c>
      <c r="C50" s="12" t="s">
        <v>223</v>
      </c>
      <c r="D50" s="12" t="s">
        <v>183</v>
      </c>
      <c r="E50" s="12" t="s">
        <v>224</v>
      </c>
      <c r="F50" s="12">
        <v>684</v>
      </c>
      <c r="G50" s="12" t="s">
        <v>20</v>
      </c>
      <c r="H50" s="12">
        <v>49</v>
      </c>
      <c r="I50" s="12">
        <v>36</v>
      </c>
      <c r="J50" s="12">
        <v>13</v>
      </c>
      <c r="K50" s="14">
        <v>45370</v>
      </c>
      <c r="L50" s="14">
        <v>45811</v>
      </c>
      <c r="M50" s="12">
        <v>441</v>
      </c>
      <c r="N50" s="12">
        <v>280</v>
      </c>
      <c r="O50" s="12" t="s">
        <v>225</v>
      </c>
      <c r="P50" s="12" t="s">
        <v>28</v>
      </c>
    </row>
    <row r="51" spans="1:16" x14ac:dyDescent="0.3">
      <c r="A51" s="12">
        <v>150</v>
      </c>
      <c r="B51" s="12" t="s">
        <v>226</v>
      </c>
      <c r="C51" s="12" t="s">
        <v>227</v>
      </c>
      <c r="D51" s="12" t="s">
        <v>183</v>
      </c>
      <c r="E51" s="12" t="s">
        <v>228</v>
      </c>
      <c r="F51" s="12">
        <v>846</v>
      </c>
      <c r="G51" s="12" t="s">
        <v>38</v>
      </c>
      <c r="H51" s="12">
        <v>48</v>
      </c>
      <c r="I51" s="12">
        <v>40</v>
      </c>
      <c r="J51" s="12">
        <v>8</v>
      </c>
      <c r="K51" s="14">
        <v>45371</v>
      </c>
      <c r="L51" s="14">
        <v>45823</v>
      </c>
      <c r="M51" s="12">
        <v>452</v>
      </c>
      <c r="N51" s="12">
        <v>440</v>
      </c>
      <c r="O51" s="12" t="s">
        <v>229</v>
      </c>
      <c r="P51" s="12" t="s">
        <v>28</v>
      </c>
    </row>
    <row r="52" spans="1:16" x14ac:dyDescent="0.3">
      <c r="A52" s="12">
        <v>151</v>
      </c>
      <c r="B52" s="12" t="s">
        <v>230</v>
      </c>
      <c r="C52" s="12" t="s">
        <v>231</v>
      </c>
      <c r="D52" s="12" t="s">
        <v>232</v>
      </c>
      <c r="E52" s="12" t="s">
        <v>233</v>
      </c>
      <c r="F52" s="12">
        <v>220</v>
      </c>
      <c r="G52" s="12" t="s">
        <v>26</v>
      </c>
      <c r="H52" s="12">
        <v>47</v>
      </c>
      <c r="I52" s="12">
        <v>39</v>
      </c>
      <c r="J52" s="12">
        <v>8</v>
      </c>
      <c r="K52" s="14">
        <v>45372</v>
      </c>
      <c r="L52" s="14">
        <v>45835</v>
      </c>
      <c r="M52" s="12">
        <v>463</v>
      </c>
      <c r="N52" s="12">
        <v>380</v>
      </c>
      <c r="O52" s="12" t="s">
        <v>234</v>
      </c>
      <c r="P52" s="12" t="s">
        <v>34</v>
      </c>
    </row>
    <row r="53" spans="1:16" x14ac:dyDescent="0.3">
      <c r="A53" s="12">
        <v>152</v>
      </c>
      <c r="B53" s="12" t="s">
        <v>235</v>
      </c>
      <c r="C53" s="12" t="s">
        <v>236</v>
      </c>
      <c r="D53" s="12" t="s">
        <v>232</v>
      </c>
      <c r="E53" s="12" t="s">
        <v>237</v>
      </c>
      <c r="F53" s="12">
        <v>366</v>
      </c>
      <c r="G53" s="12" t="s">
        <v>38</v>
      </c>
      <c r="H53" s="12">
        <v>46</v>
      </c>
      <c r="I53" s="12">
        <v>41</v>
      </c>
      <c r="J53" s="12">
        <v>5</v>
      </c>
      <c r="K53" s="14">
        <v>45373</v>
      </c>
      <c r="L53" s="14">
        <v>45842</v>
      </c>
      <c r="M53" s="12">
        <v>469</v>
      </c>
      <c r="N53" s="12">
        <v>260</v>
      </c>
      <c r="O53" s="12" t="s">
        <v>238</v>
      </c>
      <c r="P53" s="12" t="s">
        <v>34</v>
      </c>
    </row>
    <row r="54" spans="1:16" x14ac:dyDescent="0.3">
      <c r="A54" s="12">
        <v>153</v>
      </c>
      <c r="B54" s="12" t="s">
        <v>239</v>
      </c>
      <c r="C54" s="12" t="s">
        <v>240</v>
      </c>
      <c r="D54" s="12" t="s">
        <v>232</v>
      </c>
      <c r="E54" s="12" t="s">
        <v>241</v>
      </c>
      <c r="F54" s="12">
        <v>473</v>
      </c>
      <c r="G54" s="12" t="s">
        <v>20</v>
      </c>
      <c r="H54" s="12">
        <v>45</v>
      </c>
      <c r="I54" s="12">
        <v>38</v>
      </c>
      <c r="J54" s="12">
        <v>7</v>
      </c>
      <c r="K54" s="14">
        <v>45374</v>
      </c>
      <c r="L54" s="14">
        <v>45855</v>
      </c>
      <c r="M54" s="12">
        <v>481</v>
      </c>
      <c r="N54" s="12">
        <v>420</v>
      </c>
      <c r="O54" s="12" t="s">
        <v>242</v>
      </c>
      <c r="P54" s="12" t="s">
        <v>34</v>
      </c>
    </row>
    <row r="55" spans="1:16" x14ac:dyDescent="0.3">
      <c r="A55" s="12">
        <v>154</v>
      </c>
      <c r="B55" s="12" t="s">
        <v>243</v>
      </c>
      <c r="C55" s="12" t="s">
        <v>244</v>
      </c>
      <c r="D55" s="12" t="s">
        <v>232</v>
      </c>
      <c r="E55" s="12" t="s">
        <v>245</v>
      </c>
      <c r="F55" s="12">
        <v>587</v>
      </c>
      <c r="G55" s="12" t="s">
        <v>20</v>
      </c>
      <c r="H55" s="12">
        <v>44</v>
      </c>
      <c r="I55" s="12">
        <v>33</v>
      </c>
      <c r="J55" s="12">
        <v>11</v>
      </c>
      <c r="K55" s="14">
        <v>45375</v>
      </c>
      <c r="L55" s="14">
        <v>45868</v>
      </c>
      <c r="M55" s="12">
        <v>493</v>
      </c>
      <c r="N55" s="12">
        <v>300</v>
      </c>
      <c r="O55" s="12" t="s">
        <v>246</v>
      </c>
      <c r="P55" s="12" t="s">
        <v>28</v>
      </c>
    </row>
    <row r="56" spans="1:16" x14ac:dyDescent="0.3">
      <c r="A56" s="12">
        <v>155</v>
      </c>
      <c r="B56" s="12" t="s">
        <v>247</v>
      </c>
      <c r="C56" s="12" t="s">
        <v>248</v>
      </c>
      <c r="D56" s="12" t="s">
        <v>232</v>
      </c>
      <c r="E56" s="12" t="s">
        <v>249</v>
      </c>
      <c r="F56" s="12">
        <v>800</v>
      </c>
      <c r="G56" s="12" t="s">
        <v>38</v>
      </c>
      <c r="H56" s="12">
        <v>43</v>
      </c>
      <c r="I56" s="12">
        <v>32</v>
      </c>
      <c r="J56" s="12">
        <v>11</v>
      </c>
      <c r="K56" s="14">
        <v>45376</v>
      </c>
      <c r="L56" s="14">
        <v>45871</v>
      </c>
      <c r="M56" s="12">
        <v>495</v>
      </c>
      <c r="N56" s="12">
        <v>120</v>
      </c>
      <c r="O56" s="12" t="s">
        <v>250</v>
      </c>
      <c r="P56" s="12" t="s">
        <v>22</v>
      </c>
    </row>
    <row r="57" spans="1:16" x14ac:dyDescent="0.3">
      <c r="A57" s="12">
        <v>156</v>
      </c>
      <c r="B57" s="12" t="s">
        <v>251</v>
      </c>
      <c r="C57" s="12" t="s">
        <v>252</v>
      </c>
      <c r="D57" s="12" t="s">
        <v>232</v>
      </c>
      <c r="E57" s="12" t="s">
        <v>253</v>
      </c>
      <c r="F57" s="12">
        <v>515</v>
      </c>
      <c r="G57" s="12" t="s">
        <v>20</v>
      </c>
      <c r="H57" s="12">
        <v>42</v>
      </c>
      <c r="I57" s="12">
        <v>31</v>
      </c>
      <c r="J57" s="12">
        <v>11</v>
      </c>
      <c r="K57" s="14">
        <v>45377</v>
      </c>
      <c r="L57" s="14">
        <v>45885</v>
      </c>
      <c r="M57" s="12">
        <v>508</v>
      </c>
      <c r="N57" s="12">
        <v>160</v>
      </c>
      <c r="O57" s="12" t="s">
        <v>254</v>
      </c>
      <c r="P57" s="12" t="s">
        <v>28</v>
      </c>
    </row>
    <row r="58" spans="1:16" x14ac:dyDescent="0.3">
      <c r="A58" s="12">
        <v>157</v>
      </c>
      <c r="B58" s="12" t="s">
        <v>255</v>
      </c>
      <c r="C58" s="12" t="s">
        <v>256</v>
      </c>
      <c r="D58" s="12" t="s">
        <v>232</v>
      </c>
      <c r="E58" s="12" t="s">
        <v>257</v>
      </c>
      <c r="F58" s="12">
        <v>213</v>
      </c>
      <c r="G58" s="12" t="s">
        <v>38</v>
      </c>
      <c r="H58" s="12">
        <v>41</v>
      </c>
      <c r="I58" s="12">
        <v>29</v>
      </c>
      <c r="J58" s="12">
        <v>12</v>
      </c>
      <c r="K58" s="14">
        <v>45378</v>
      </c>
      <c r="L58" s="14">
        <v>45897</v>
      </c>
      <c r="M58" s="12">
        <v>519</v>
      </c>
      <c r="N58" s="12">
        <v>280</v>
      </c>
      <c r="O58" s="12" t="s">
        <v>258</v>
      </c>
      <c r="P58" s="12" t="s">
        <v>34</v>
      </c>
    </row>
    <row r="59" spans="1:16" x14ac:dyDescent="0.3">
      <c r="A59" s="12">
        <v>158</v>
      </c>
      <c r="B59" s="12" t="s">
        <v>259</v>
      </c>
      <c r="C59" s="12" t="s">
        <v>260</v>
      </c>
      <c r="D59" s="12" t="s">
        <v>232</v>
      </c>
      <c r="E59" s="12" t="s">
        <v>261</v>
      </c>
      <c r="F59" s="12">
        <v>441</v>
      </c>
      <c r="G59" s="12" t="s">
        <v>65</v>
      </c>
      <c r="H59" s="12">
        <v>40</v>
      </c>
      <c r="I59" s="12">
        <v>27</v>
      </c>
      <c r="J59" s="12">
        <v>13</v>
      </c>
      <c r="K59" s="14">
        <v>45379</v>
      </c>
      <c r="L59" s="14">
        <v>45905</v>
      </c>
      <c r="M59" s="12">
        <v>526</v>
      </c>
      <c r="N59" s="12">
        <v>180</v>
      </c>
      <c r="O59" s="12" t="s">
        <v>262</v>
      </c>
      <c r="P59" s="12" t="s">
        <v>22</v>
      </c>
    </row>
    <row r="60" spans="1:16" x14ac:dyDescent="0.3">
      <c r="A60" s="12">
        <v>159</v>
      </c>
      <c r="B60" s="12" t="s">
        <v>263</v>
      </c>
      <c r="C60" s="12" t="s">
        <v>264</v>
      </c>
      <c r="D60" s="12" t="s">
        <v>232</v>
      </c>
      <c r="E60" s="12" t="s">
        <v>265</v>
      </c>
      <c r="F60" s="12">
        <v>976</v>
      </c>
      <c r="G60" s="12" t="s">
        <v>38</v>
      </c>
      <c r="H60" s="12">
        <v>39</v>
      </c>
      <c r="I60" s="12">
        <v>25</v>
      </c>
      <c r="J60" s="12">
        <v>14</v>
      </c>
      <c r="K60" s="14">
        <v>45380</v>
      </c>
      <c r="L60" s="14">
        <v>45918</v>
      </c>
      <c r="M60" s="12">
        <v>538</v>
      </c>
      <c r="N60" s="12">
        <v>200</v>
      </c>
      <c r="O60" s="12" t="s">
        <v>266</v>
      </c>
      <c r="P60" s="12" t="s">
        <v>28</v>
      </c>
    </row>
    <row r="61" spans="1:16" x14ac:dyDescent="0.3">
      <c r="A61" s="12">
        <v>160</v>
      </c>
      <c r="B61" s="12" t="s">
        <v>267</v>
      </c>
      <c r="C61" s="12" t="s">
        <v>268</v>
      </c>
      <c r="D61" s="12" t="s">
        <v>232</v>
      </c>
      <c r="E61" s="12" t="s">
        <v>269</v>
      </c>
      <c r="F61" s="12">
        <v>545</v>
      </c>
      <c r="G61" s="12" t="s">
        <v>38</v>
      </c>
      <c r="H61" s="12">
        <v>38</v>
      </c>
      <c r="I61" s="12">
        <v>23</v>
      </c>
      <c r="J61" s="12">
        <v>15</v>
      </c>
      <c r="K61" s="14">
        <v>45381</v>
      </c>
      <c r="L61" s="14">
        <v>45930</v>
      </c>
      <c r="M61" s="12">
        <v>549</v>
      </c>
      <c r="N61" s="12">
        <v>120</v>
      </c>
      <c r="O61" s="12" t="s">
        <v>270</v>
      </c>
      <c r="P61" s="12" t="s">
        <v>28</v>
      </c>
    </row>
    <row r="62" spans="1:16" x14ac:dyDescent="0.3">
      <c r="A62" s="12">
        <v>161</v>
      </c>
      <c r="B62" s="12" t="s">
        <v>271</v>
      </c>
      <c r="C62" s="12" t="s">
        <v>272</v>
      </c>
      <c r="D62" s="12" t="s">
        <v>271</v>
      </c>
      <c r="E62" s="12" t="s">
        <v>273</v>
      </c>
      <c r="F62" s="12">
        <v>764</v>
      </c>
      <c r="G62" s="12" t="s">
        <v>20</v>
      </c>
      <c r="H62" s="12">
        <v>37</v>
      </c>
      <c r="I62" s="12">
        <v>22</v>
      </c>
      <c r="J62" s="12">
        <v>15</v>
      </c>
      <c r="K62" s="14">
        <v>45382</v>
      </c>
      <c r="L62" s="14">
        <v>45934</v>
      </c>
      <c r="M62" s="12">
        <v>552</v>
      </c>
      <c r="N62" s="12">
        <v>140</v>
      </c>
      <c r="O62" s="12" t="s">
        <v>274</v>
      </c>
      <c r="P62" s="12" t="s">
        <v>34</v>
      </c>
    </row>
    <row r="63" spans="1:16" x14ac:dyDescent="0.3">
      <c r="A63" s="12">
        <v>162</v>
      </c>
      <c r="B63" s="12" t="s">
        <v>275</v>
      </c>
      <c r="C63" s="12" t="s">
        <v>276</v>
      </c>
      <c r="D63" s="12" t="s">
        <v>271</v>
      </c>
      <c r="E63" s="12" t="s">
        <v>277</v>
      </c>
      <c r="F63" s="12">
        <v>539</v>
      </c>
      <c r="G63" s="12" t="s">
        <v>20</v>
      </c>
      <c r="H63" s="12">
        <v>36</v>
      </c>
      <c r="I63" s="12">
        <v>20</v>
      </c>
      <c r="J63" s="12">
        <v>16</v>
      </c>
      <c r="K63" s="14">
        <v>45383</v>
      </c>
      <c r="L63" s="14">
        <v>45947</v>
      </c>
      <c r="M63" s="12">
        <v>564</v>
      </c>
      <c r="N63" s="12">
        <v>800</v>
      </c>
      <c r="O63" s="12" t="s">
        <v>278</v>
      </c>
      <c r="P63" s="12" t="s">
        <v>28</v>
      </c>
    </row>
    <row r="64" spans="1:16" x14ac:dyDescent="0.3">
      <c r="A64" s="12">
        <v>163</v>
      </c>
      <c r="B64" s="12" t="s">
        <v>279</v>
      </c>
      <c r="C64" s="12" t="s">
        <v>280</v>
      </c>
      <c r="D64" s="12" t="s">
        <v>271</v>
      </c>
      <c r="E64" s="12" t="s">
        <v>281</v>
      </c>
      <c r="F64" s="12">
        <v>291</v>
      </c>
      <c r="G64" s="12" t="s">
        <v>32</v>
      </c>
      <c r="H64" s="12">
        <v>35</v>
      </c>
      <c r="I64" s="12">
        <v>19</v>
      </c>
      <c r="J64" s="12">
        <v>16</v>
      </c>
      <c r="K64" s="14">
        <v>45384</v>
      </c>
      <c r="L64" s="14">
        <v>45959</v>
      </c>
      <c r="M64" s="12">
        <v>575</v>
      </c>
      <c r="N64" s="12">
        <v>320</v>
      </c>
      <c r="O64" s="12" t="s">
        <v>282</v>
      </c>
      <c r="P64" s="12" t="s">
        <v>34</v>
      </c>
    </row>
    <row r="65" spans="1:16" x14ac:dyDescent="0.3">
      <c r="A65" s="12">
        <v>164</v>
      </c>
      <c r="B65" s="12" t="s">
        <v>283</v>
      </c>
      <c r="C65" s="12" t="s">
        <v>284</v>
      </c>
      <c r="D65" s="12" t="s">
        <v>271</v>
      </c>
      <c r="E65" s="12" t="s">
        <v>285</v>
      </c>
      <c r="F65" s="12">
        <v>566</v>
      </c>
      <c r="G65" s="12" t="s">
        <v>32</v>
      </c>
      <c r="H65" s="12">
        <v>34</v>
      </c>
      <c r="I65" s="12">
        <v>17</v>
      </c>
      <c r="J65" s="12">
        <v>17</v>
      </c>
      <c r="K65" s="14">
        <v>45385</v>
      </c>
      <c r="L65" s="14">
        <v>45964</v>
      </c>
      <c r="M65" s="12">
        <v>579</v>
      </c>
      <c r="N65" s="12">
        <v>240</v>
      </c>
      <c r="O65" s="12" t="s">
        <v>286</v>
      </c>
      <c r="P65" s="12" t="s">
        <v>28</v>
      </c>
    </row>
    <row r="66" spans="1:16" x14ac:dyDescent="0.3">
      <c r="A66" s="12">
        <v>165</v>
      </c>
      <c r="B66" s="12" t="s">
        <v>287</v>
      </c>
      <c r="C66" s="12" t="s">
        <v>288</v>
      </c>
      <c r="D66" s="12" t="s">
        <v>271</v>
      </c>
      <c r="E66" s="12" t="s">
        <v>289</v>
      </c>
      <c r="F66" s="12">
        <v>654</v>
      </c>
      <c r="G66" s="12" t="s">
        <v>65</v>
      </c>
      <c r="H66" s="12">
        <v>33</v>
      </c>
      <c r="I66" s="12">
        <v>15</v>
      </c>
      <c r="J66" s="12">
        <v>18</v>
      </c>
      <c r="K66" s="14">
        <v>45386</v>
      </c>
      <c r="L66" s="14">
        <v>45976</v>
      </c>
      <c r="M66" s="12">
        <v>590</v>
      </c>
      <c r="N66" s="12">
        <v>300</v>
      </c>
      <c r="O66" s="12" t="s">
        <v>290</v>
      </c>
      <c r="P66" s="12" t="s">
        <v>22</v>
      </c>
    </row>
    <row r="67" spans="1:16" x14ac:dyDescent="0.3">
      <c r="A67" s="12">
        <v>166</v>
      </c>
      <c r="B67" s="12" t="s">
        <v>291</v>
      </c>
      <c r="C67" s="12" t="s">
        <v>292</v>
      </c>
      <c r="D67" s="12" t="s">
        <v>271</v>
      </c>
      <c r="E67" s="12" t="s">
        <v>293</v>
      </c>
      <c r="F67" s="12">
        <v>627</v>
      </c>
      <c r="G67" s="12" t="s">
        <v>32</v>
      </c>
      <c r="H67" s="12">
        <v>32</v>
      </c>
      <c r="I67" s="12">
        <v>14</v>
      </c>
      <c r="J67" s="12">
        <v>18</v>
      </c>
      <c r="K67" s="14">
        <v>45387</v>
      </c>
      <c r="L67" s="14">
        <v>45989</v>
      </c>
      <c r="M67" s="12">
        <v>602</v>
      </c>
      <c r="N67" s="12">
        <v>260</v>
      </c>
      <c r="O67" s="12" t="s">
        <v>294</v>
      </c>
      <c r="P67" s="12" t="s">
        <v>34</v>
      </c>
    </row>
    <row r="68" spans="1:16" x14ac:dyDescent="0.3">
      <c r="A68" s="12">
        <v>167</v>
      </c>
      <c r="B68" s="12" t="s">
        <v>295</v>
      </c>
      <c r="C68" s="12" t="s">
        <v>296</v>
      </c>
      <c r="D68" s="12" t="s">
        <v>271</v>
      </c>
      <c r="E68" s="12" t="s">
        <v>297</v>
      </c>
      <c r="F68" s="12">
        <v>708</v>
      </c>
      <c r="G68" s="12" t="s">
        <v>38</v>
      </c>
      <c r="H68" s="12">
        <v>31</v>
      </c>
      <c r="I68" s="12">
        <v>12</v>
      </c>
      <c r="J68" s="12">
        <v>19</v>
      </c>
      <c r="K68" s="14">
        <v>45388</v>
      </c>
      <c r="L68" s="14">
        <v>45996</v>
      </c>
      <c r="M68" s="12">
        <v>608</v>
      </c>
      <c r="N68" s="12">
        <v>200</v>
      </c>
      <c r="O68" s="12" t="s">
        <v>298</v>
      </c>
      <c r="P68" s="12" t="s">
        <v>28</v>
      </c>
    </row>
    <row r="69" spans="1:16" x14ac:dyDescent="0.3">
      <c r="A69" s="12">
        <v>168</v>
      </c>
      <c r="B69" s="12" t="s">
        <v>299</v>
      </c>
      <c r="C69" s="12" t="s">
        <v>300</v>
      </c>
      <c r="D69" s="12" t="s">
        <v>271</v>
      </c>
      <c r="E69" s="12" t="s">
        <v>301</v>
      </c>
      <c r="F69" s="12">
        <v>975</v>
      </c>
      <c r="G69" s="12" t="s">
        <v>20</v>
      </c>
      <c r="H69" s="12">
        <v>30</v>
      </c>
      <c r="I69" s="12">
        <v>23</v>
      </c>
      <c r="J69" s="12">
        <v>7</v>
      </c>
      <c r="K69" s="14">
        <v>45389</v>
      </c>
      <c r="L69" s="14">
        <v>46009</v>
      </c>
      <c r="M69" s="12">
        <v>620</v>
      </c>
      <c r="N69" s="12">
        <v>180</v>
      </c>
      <c r="O69" s="12" t="s">
        <v>119</v>
      </c>
      <c r="P69" s="12" t="s">
        <v>34</v>
      </c>
    </row>
    <row r="70" spans="1:16" x14ac:dyDescent="0.3">
      <c r="A70" s="12">
        <v>169</v>
      </c>
      <c r="B70" s="12" t="s">
        <v>302</v>
      </c>
      <c r="C70" s="12" t="s">
        <v>303</v>
      </c>
      <c r="D70" s="12" t="s">
        <v>271</v>
      </c>
      <c r="E70" s="12" t="s">
        <v>304</v>
      </c>
      <c r="F70" s="12">
        <v>234</v>
      </c>
      <c r="G70" s="12" t="s">
        <v>32</v>
      </c>
      <c r="H70" s="12">
        <v>29</v>
      </c>
      <c r="I70" s="12">
        <v>12</v>
      </c>
      <c r="J70" s="12">
        <v>17</v>
      </c>
      <c r="K70" s="14">
        <v>45390</v>
      </c>
      <c r="L70" s="14">
        <v>46021</v>
      </c>
      <c r="M70" s="12">
        <v>631</v>
      </c>
      <c r="N70" s="12">
        <v>100</v>
      </c>
      <c r="O70" s="12" t="s">
        <v>305</v>
      </c>
      <c r="P70" s="12" t="s">
        <v>28</v>
      </c>
    </row>
    <row r="71" spans="1:16" x14ac:dyDescent="0.3">
      <c r="A71" s="12">
        <v>170</v>
      </c>
      <c r="B71" s="12" t="s">
        <v>306</v>
      </c>
      <c r="C71" s="12" t="s">
        <v>307</v>
      </c>
      <c r="D71" s="12" t="s">
        <v>271</v>
      </c>
      <c r="E71" s="12" t="s">
        <v>308</v>
      </c>
      <c r="F71" s="12">
        <v>405</v>
      </c>
      <c r="G71" s="12" t="s">
        <v>32</v>
      </c>
      <c r="H71" s="12">
        <v>28</v>
      </c>
      <c r="I71" s="12">
        <v>23</v>
      </c>
      <c r="J71" s="12">
        <v>5</v>
      </c>
      <c r="K71" s="14">
        <v>45391</v>
      </c>
      <c r="L71" s="14">
        <v>46025</v>
      </c>
      <c r="M71" s="12">
        <v>634</v>
      </c>
      <c r="N71" s="12">
        <v>220</v>
      </c>
      <c r="O71" s="12" t="s">
        <v>309</v>
      </c>
      <c r="P71" s="12" t="s">
        <v>28</v>
      </c>
    </row>
    <row r="72" spans="1:16" x14ac:dyDescent="0.3">
      <c r="A72" s="12">
        <v>171</v>
      </c>
      <c r="B72" s="12" t="s">
        <v>310</v>
      </c>
      <c r="C72" s="12" t="s">
        <v>311</v>
      </c>
      <c r="D72" s="12" t="s">
        <v>310</v>
      </c>
      <c r="E72" s="12" t="s">
        <v>312</v>
      </c>
      <c r="F72" s="12">
        <v>280</v>
      </c>
      <c r="G72" s="12" t="s">
        <v>65</v>
      </c>
      <c r="H72" s="12">
        <v>27</v>
      </c>
      <c r="I72" s="12">
        <v>12</v>
      </c>
      <c r="J72" s="12">
        <v>15</v>
      </c>
      <c r="K72" s="14">
        <v>45392</v>
      </c>
      <c r="L72" s="14">
        <v>46038</v>
      </c>
      <c r="M72" s="12">
        <v>646</v>
      </c>
      <c r="N72" s="12">
        <v>280</v>
      </c>
      <c r="O72" s="12" t="s">
        <v>106</v>
      </c>
      <c r="P72" s="12" t="s">
        <v>28</v>
      </c>
    </row>
    <row r="73" spans="1:16" x14ac:dyDescent="0.3">
      <c r="A73" s="12">
        <v>172</v>
      </c>
      <c r="B73" s="12" t="s">
        <v>313</v>
      </c>
      <c r="C73" s="12" t="s">
        <v>314</v>
      </c>
      <c r="D73" s="12" t="s">
        <v>310</v>
      </c>
      <c r="E73" s="12" t="s">
        <v>315</v>
      </c>
      <c r="F73" s="12">
        <v>761</v>
      </c>
      <c r="G73" s="12" t="s">
        <v>65</v>
      </c>
      <c r="H73" s="12">
        <v>26</v>
      </c>
      <c r="I73" s="12">
        <v>13</v>
      </c>
      <c r="J73" s="12">
        <v>13</v>
      </c>
      <c r="K73" s="14">
        <v>45393</v>
      </c>
      <c r="L73" s="14">
        <v>46050</v>
      </c>
      <c r="M73" s="12">
        <v>657</v>
      </c>
      <c r="N73" s="12">
        <v>320</v>
      </c>
      <c r="O73" s="12" t="s">
        <v>316</v>
      </c>
      <c r="P73" s="12" t="s">
        <v>28</v>
      </c>
    </row>
    <row r="74" spans="1:16" x14ac:dyDescent="0.3">
      <c r="A74" s="12">
        <v>173</v>
      </c>
      <c r="B74" s="12" t="s">
        <v>317</v>
      </c>
      <c r="C74" s="12" t="s">
        <v>318</v>
      </c>
      <c r="D74" s="12" t="s">
        <v>310</v>
      </c>
      <c r="E74" s="12" t="s">
        <v>319</v>
      </c>
      <c r="F74" s="12">
        <v>587</v>
      </c>
      <c r="G74" s="12" t="s">
        <v>38</v>
      </c>
      <c r="H74" s="12">
        <v>25</v>
      </c>
      <c r="I74" s="12">
        <v>23</v>
      </c>
      <c r="J74" s="12">
        <v>2</v>
      </c>
      <c r="K74" s="14">
        <v>45394</v>
      </c>
      <c r="L74" s="14">
        <v>46058</v>
      </c>
      <c r="M74" s="12">
        <v>664</v>
      </c>
      <c r="N74" s="12">
        <v>360</v>
      </c>
      <c r="O74" s="12" t="s">
        <v>320</v>
      </c>
      <c r="P74" s="12" t="s">
        <v>28</v>
      </c>
    </row>
    <row r="75" spans="1:16" x14ac:dyDescent="0.3">
      <c r="A75" s="12">
        <v>174</v>
      </c>
      <c r="B75" s="12" t="s">
        <v>321</v>
      </c>
      <c r="C75" s="12" t="s">
        <v>322</v>
      </c>
      <c r="D75" s="12" t="s">
        <v>310</v>
      </c>
      <c r="E75" s="12" t="s">
        <v>323</v>
      </c>
      <c r="F75" s="12">
        <v>201</v>
      </c>
      <c r="G75" s="12" t="s">
        <v>20</v>
      </c>
      <c r="H75" s="12">
        <v>24</v>
      </c>
      <c r="I75" s="12">
        <v>3</v>
      </c>
      <c r="J75" s="12">
        <v>21</v>
      </c>
      <c r="K75" s="14">
        <v>45395</v>
      </c>
      <c r="L75" s="14">
        <v>46070</v>
      </c>
      <c r="M75" s="12">
        <v>675</v>
      </c>
      <c r="N75" s="12">
        <v>400</v>
      </c>
      <c r="O75" s="12" t="s">
        <v>324</v>
      </c>
      <c r="P75" s="12" t="s">
        <v>28</v>
      </c>
    </row>
    <row r="76" spans="1:16" x14ac:dyDescent="0.3">
      <c r="A76" s="12">
        <v>175</v>
      </c>
      <c r="B76" s="12" t="s">
        <v>325</v>
      </c>
      <c r="C76" s="12" t="s">
        <v>326</v>
      </c>
      <c r="D76" s="12" t="s">
        <v>310</v>
      </c>
      <c r="E76" s="12" t="s">
        <v>327</v>
      </c>
      <c r="F76" s="12">
        <v>589</v>
      </c>
      <c r="G76" s="12" t="s">
        <v>65</v>
      </c>
      <c r="H76" s="12">
        <v>23</v>
      </c>
      <c r="I76" s="12">
        <v>13</v>
      </c>
      <c r="J76" s="12">
        <v>10</v>
      </c>
      <c r="K76" s="14">
        <v>45396</v>
      </c>
      <c r="L76" s="14">
        <v>46080</v>
      </c>
      <c r="M76" s="12">
        <v>684</v>
      </c>
      <c r="N76" s="12">
        <v>420</v>
      </c>
      <c r="O76" s="12" t="s">
        <v>328</v>
      </c>
      <c r="P76" s="12" t="s">
        <v>28</v>
      </c>
    </row>
    <row r="77" spans="1:16" x14ac:dyDescent="0.3">
      <c r="A77" s="12">
        <v>176</v>
      </c>
      <c r="B77" s="12" t="s">
        <v>329</v>
      </c>
      <c r="C77" s="12" t="s">
        <v>330</v>
      </c>
      <c r="D77" s="12" t="s">
        <v>310</v>
      </c>
      <c r="E77" s="12" t="s">
        <v>331</v>
      </c>
      <c r="F77" s="12">
        <v>765</v>
      </c>
      <c r="G77" s="12" t="s">
        <v>32</v>
      </c>
      <c r="H77" s="12">
        <v>22</v>
      </c>
      <c r="I77" s="12">
        <v>13</v>
      </c>
      <c r="J77" s="12">
        <v>9</v>
      </c>
      <c r="K77" s="14">
        <v>45397</v>
      </c>
      <c r="L77" s="14">
        <v>46085</v>
      </c>
      <c r="M77" s="12">
        <v>688</v>
      </c>
      <c r="N77" s="12">
        <v>440</v>
      </c>
      <c r="O77" s="12" t="s">
        <v>332</v>
      </c>
      <c r="P77" s="12" t="s">
        <v>28</v>
      </c>
    </row>
    <row r="78" spans="1:16" x14ac:dyDescent="0.3">
      <c r="A78" s="12">
        <v>177</v>
      </c>
      <c r="B78" s="12" t="s">
        <v>333</v>
      </c>
      <c r="C78" s="12" t="s">
        <v>334</v>
      </c>
      <c r="D78" s="12" t="s">
        <v>310</v>
      </c>
      <c r="E78" s="12" t="s">
        <v>335</v>
      </c>
      <c r="F78" s="12">
        <v>305</v>
      </c>
      <c r="G78" s="12" t="s">
        <v>20</v>
      </c>
      <c r="H78" s="12">
        <v>21</v>
      </c>
      <c r="I78" s="12">
        <v>1</v>
      </c>
      <c r="J78" s="12">
        <v>20</v>
      </c>
      <c r="K78" s="14">
        <v>45398</v>
      </c>
      <c r="L78" s="14">
        <v>46097</v>
      </c>
      <c r="M78" s="12">
        <v>699</v>
      </c>
      <c r="N78" s="12">
        <v>460</v>
      </c>
      <c r="O78" s="12" t="s">
        <v>336</v>
      </c>
      <c r="P78" s="12" t="s">
        <v>28</v>
      </c>
    </row>
    <row r="79" spans="1:16" x14ac:dyDescent="0.3">
      <c r="A79" s="12">
        <v>178</v>
      </c>
      <c r="B79" s="12" t="s">
        <v>337</v>
      </c>
      <c r="C79" s="12" t="s">
        <v>338</v>
      </c>
      <c r="D79" s="12" t="s">
        <v>310</v>
      </c>
      <c r="E79" s="12" t="s">
        <v>339</v>
      </c>
      <c r="F79" s="12">
        <v>971</v>
      </c>
      <c r="G79" s="12" t="s">
        <v>20</v>
      </c>
      <c r="H79" s="12">
        <v>20</v>
      </c>
      <c r="I79" s="12">
        <v>1</v>
      </c>
      <c r="J79" s="12">
        <v>19</v>
      </c>
      <c r="K79" s="14">
        <v>45399</v>
      </c>
      <c r="L79" s="14">
        <v>46109</v>
      </c>
      <c r="M79" s="12">
        <v>710</v>
      </c>
      <c r="N79" s="12">
        <v>480</v>
      </c>
      <c r="O79" s="12" t="s">
        <v>340</v>
      </c>
      <c r="P79" s="12" t="s">
        <v>28</v>
      </c>
    </row>
    <row r="80" spans="1:16" x14ac:dyDescent="0.3">
      <c r="A80" s="12">
        <v>179</v>
      </c>
      <c r="B80" s="12" t="s">
        <v>341</v>
      </c>
      <c r="C80" s="12" t="s">
        <v>342</v>
      </c>
      <c r="D80" s="12" t="s">
        <v>310</v>
      </c>
      <c r="E80" s="12" t="s">
        <v>343</v>
      </c>
      <c r="F80" s="12">
        <v>676</v>
      </c>
      <c r="G80" s="12" t="s">
        <v>32</v>
      </c>
      <c r="H80" s="12">
        <v>19</v>
      </c>
      <c r="I80" s="12">
        <v>2</v>
      </c>
      <c r="J80" s="12">
        <v>17</v>
      </c>
      <c r="K80" s="14">
        <v>45400</v>
      </c>
      <c r="L80" s="14">
        <v>46115</v>
      </c>
      <c r="M80" s="12">
        <v>715</v>
      </c>
      <c r="N80" s="12">
        <v>180</v>
      </c>
      <c r="O80" s="12" t="s">
        <v>344</v>
      </c>
      <c r="P80" s="12" t="s">
        <v>28</v>
      </c>
    </row>
    <row r="81" spans="1:16" x14ac:dyDescent="0.3">
      <c r="A81" s="12">
        <v>180</v>
      </c>
      <c r="B81" s="12" t="s">
        <v>345</v>
      </c>
      <c r="C81" s="12" t="s">
        <v>346</v>
      </c>
      <c r="D81" s="12" t="s">
        <v>310</v>
      </c>
      <c r="E81" s="12" t="s">
        <v>347</v>
      </c>
      <c r="F81" s="12">
        <v>902</v>
      </c>
      <c r="G81" s="12" t="s">
        <v>65</v>
      </c>
      <c r="H81" s="12">
        <v>18</v>
      </c>
      <c r="I81" s="12">
        <v>3</v>
      </c>
      <c r="J81" s="12">
        <v>15</v>
      </c>
      <c r="K81" s="14">
        <v>45401</v>
      </c>
      <c r="L81" s="14">
        <v>46127</v>
      </c>
      <c r="M81" s="12">
        <v>726</v>
      </c>
      <c r="N81" s="12">
        <v>200</v>
      </c>
      <c r="O81" s="12" t="s">
        <v>348</v>
      </c>
      <c r="P81" s="12" t="s">
        <v>28</v>
      </c>
    </row>
    <row r="82" spans="1:16" x14ac:dyDescent="0.3">
      <c r="A82" s="12">
        <v>181</v>
      </c>
      <c r="B82" s="12" t="s">
        <v>349</v>
      </c>
      <c r="C82" s="12" t="s">
        <v>350</v>
      </c>
      <c r="D82" s="12" t="s">
        <v>351</v>
      </c>
      <c r="E82" s="12" t="s">
        <v>352</v>
      </c>
      <c r="F82" s="12">
        <v>601</v>
      </c>
      <c r="G82" s="12" t="s">
        <v>32</v>
      </c>
      <c r="H82" s="12">
        <v>17</v>
      </c>
      <c r="I82" s="12">
        <v>4</v>
      </c>
      <c r="J82" s="12">
        <v>13</v>
      </c>
      <c r="K82" s="14">
        <v>45402</v>
      </c>
      <c r="L82" s="14">
        <v>46141</v>
      </c>
      <c r="M82" s="12">
        <v>739</v>
      </c>
      <c r="N82" s="12">
        <v>240</v>
      </c>
      <c r="O82" s="12" t="s">
        <v>305</v>
      </c>
      <c r="P82" s="12" t="s">
        <v>22</v>
      </c>
    </row>
    <row r="83" spans="1:16" x14ac:dyDescent="0.3">
      <c r="A83" s="12">
        <v>182</v>
      </c>
      <c r="B83" s="12" t="s">
        <v>353</v>
      </c>
      <c r="C83" s="12" t="s">
        <v>354</v>
      </c>
      <c r="D83" s="12" t="s">
        <v>351</v>
      </c>
      <c r="E83" s="12" t="s">
        <v>355</v>
      </c>
      <c r="F83" s="12">
        <v>929</v>
      </c>
      <c r="G83" s="12" t="s">
        <v>20</v>
      </c>
      <c r="H83" s="12">
        <v>16</v>
      </c>
      <c r="I83" s="12">
        <v>5</v>
      </c>
      <c r="J83" s="12">
        <v>11</v>
      </c>
      <c r="K83" s="14">
        <v>45403</v>
      </c>
      <c r="L83" s="14">
        <v>46146</v>
      </c>
      <c r="M83" s="12">
        <v>743</v>
      </c>
      <c r="N83" s="12">
        <v>160</v>
      </c>
      <c r="O83" s="12" t="s">
        <v>356</v>
      </c>
      <c r="P83" s="12" t="s">
        <v>28</v>
      </c>
    </row>
    <row r="84" spans="1:16" x14ac:dyDescent="0.3">
      <c r="A84" s="12">
        <v>183</v>
      </c>
      <c r="B84" s="12" t="s">
        <v>357</v>
      </c>
      <c r="C84" s="12" t="s">
        <v>358</v>
      </c>
      <c r="D84" s="12" t="s">
        <v>351</v>
      </c>
      <c r="E84" s="12" t="s">
        <v>359</v>
      </c>
      <c r="F84" s="12">
        <v>755</v>
      </c>
      <c r="G84" s="12" t="s">
        <v>26</v>
      </c>
      <c r="H84" s="12">
        <v>15</v>
      </c>
      <c r="I84" s="12">
        <v>6</v>
      </c>
      <c r="J84" s="12">
        <v>9</v>
      </c>
      <c r="K84" s="14">
        <v>45404</v>
      </c>
      <c r="L84" s="14">
        <v>46160</v>
      </c>
      <c r="M84" s="12">
        <v>756</v>
      </c>
      <c r="N84" s="12">
        <v>280</v>
      </c>
      <c r="O84" s="12" t="s">
        <v>360</v>
      </c>
      <c r="P84" s="12" t="s">
        <v>34</v>
      </c>
    </row>
    <row r="85" spans="1:16" x14ac:dyDescent="0.3">
      <c r="A85" s="12">
        <v>184</v>
      </c>
      <c r="B85" s="12" t="s">
        <v>361</v>
      </c>
      <c r="C85" s="12" t="s">
        <v>362</v>
      </c>
      <c r="D85" s="12" t="s">
        <v>351</v>
      </c>
      <c r="E85" s="12" t="s">
        <v>363</v>
      </c>
      <c r="F85" s="12">
        <v>361</v>
      </c>
      <c r="G85" s="12" t="s">
        <v>26</v>
      </c>
      <c r="H85" s="12">
        <v>14</v>
      </c>
      <c r="I85" s="12">
        <v>7</v>
      </c>
      <c r="J85" s="12">
        <v>7</v>
      </c>
      <c r="K85" s="14">
        <v>45405</v>
      </c>
      <c r="L85" s="14">
        <v>46172</v>
      </c>
      <c r="M85" s="12">
        <v>767</v>
      </c>
      <c r="N85" s="12">
        <v>300</v>
      </c>
      <c r="O85" s="12" t="s">
        <v>131</v>
      </c>
      <c r="P85" s="12" t="s">
        <v>28</v>
      </c>
    </row>
    <row r="86" spans="1:16" x14ac:dyDescent="0.3">
      <c r="A86" s="12">
        <v>185</v>
      </c>
      <c r="B86" s="12" t="s">
        <v>364</v>
      </c>
      <c r="C86" s="12" t="s">
        <v>365</v>
      </c>
      <c r="D86" s="12" t="s">
        <v>351</v>
      </c>
      <c r="E86" s="12" t="s">
        <v>366</v>
      </c>
      <c r="F86" s="12">
        <v>401</v>
      </c>
      <c r="G86" s="12" t="s">
        <v>38</v>
      </c>
      <c r="H86" s="12">
        <v>13</v>
      </c>
      <c r="I86" s="12">
        <v>8</v>
      </c>
      <c r="J86" s="12">
        <v>5</v>
      </c>
      <c r="K86" s="14">
        <v>45406</v>
      </c>
      <c r="L86" s="14">
        <v>46175</v>
      </c>
      <c r="M86" s="12">
        <v>769</v>
      </c>
      <c r="N86" s="12">
        <v>340</v>
      </c>
      <c r="O86" s="12" t="s">
        <v>367</v>
      </c>
      <c r="P86" s="12" t="s">
        <v>28</v>
      </c>
    </row>
    <row r="87" spans="1:16" x14ac:dyDescent="0.3">
      <c r="A87" s="12">
        <v>186</v>
      </c>
      <c r="B87" s="12" t="s">
        <v>368</v>
      </c>
      <c r="C87" s="12" t="s">
        <v>369</v>
      </c>
      <c r="D87" s="12" t="s">
        <v>351</v>
      </c>
      <c r="E87" s="12" t="s">
        <v>370</v>
      </c>
      <c r="F87" s="12">
        <v>469</v>
      </c>
      <c r="G87" s="12" t="s">
        <v>32</v>
      </c>
      <c r="H87" s="12">
        <v>12</v>
      </c>
      <c r="I87" s="12">
        <v>9</v>
      </c>
      <c r="J87" s="12">
        <v>3</v>
      </c>
      <c r="K87" s="14">
        <v>45407</v>
      </c>
      <c r="L87" s="14">
        <v>46189</v>
      </c>
      <c r="M87" s="12">
        <v>782</v>
      </c>
      <c r="N87" s="12">
        <v>320</v>
      </c>
      <c r="O87" s="12" t="s">
        <v>371</v>
      </c>
      <c r="P87" s="12" t="s">
        <v>22</v>
      </c>
    </row>
    <row r="88" spans="1:16" x14ac:dyDescent="0.3">
      <c r="A88" s="12">
        <v>187</v>
      </c>
      <c r="B88" s="12" t="s">
        <v>372</v>
      </c>
      <c r="C88" s="12" t="s">
        <v>373</v>
      </c>
      <c r="D88" s="12" t="s">
        <v>351</v>
      </c>
      <c r="E88" s="12" t="s">
        <v>374</v>
      </c>
      <c r="F88" s="12">
        <v>470</v>
      </c>
      <c r="G88" s="12" t="s">
        <v>32</v>
      </c>
      <c r="H88" s="12">
        <v>11</v>
      </c>
      <c r="I88" s="12">
        <v>10</v>
      </c>
      <c r="J88" s="12">
        <v>1</v>
      </c>
      <c r="K88" s="14">
        <v>45408</v>
      </c>
      <c r="L88" s="14">
        <v>46201</v>
      </c>
      <c r="M88" s="12">
        <v>793</v>
      </c>
      <c r="N88" s="12">
        <v>180</v>
      </c>
      <c r="O88" s="12" t="s">
        <v>375</v>
      </c>
      <c r="P88" s="12" t="s">
        <v>34</v>
      </c>
    </row>
    <row r="89" spans="1:16" x14ac:dyDescent="0.3">
      <c r="A89" s="12">
        <v>188</v>
      </c>
      <c r="B89" s="12" t="s">
        <v>376</v>
      </c>
      <c r="C89" s="12" t="s">
        <v>377</v>
      </c>
      <c r="D89" s="12" t="s">
        <v>351</v>
      </c>
      <c r="E89" s="12" t="s">
        <v>378</v>
      </c>
      <c r="F89" s="12">
        <v>655</v>
      </c>
      <c r="G89" s="12" t="s">
        <v>38</v>
      </c>
      <c r="H89" s="12">
        <v>11</v>
      </c>
      <c r="I89" s="12">
        <v>10</v>
      </c>
      <c r="J89" s="12">
        <v>1</v>
      </c>
      <c r="K89" s="14">
        <v>45409</v>
      </c>
      <c r="L89" s="14">
        <v>46206</v>
      </c>
      <c r="M89" s="12">
        <v>797</v>
      </c>
      <c r="N89" s="12">
        <v>200</v>
      </c>
      <c r="O89" s="12" t="s">
        <v>379</v>
      </c>
      <c r="P89" s="12" t="s">
        <v>34</v>
      </c>
    </row>
    <row r="90" spans="1:16" x14ac:dyDescent="0.3">
      <c r="A90" s="12">
        <v>189</v>
      </c>
      <c r="B90" s="12" t="s">
        <v>380</v>
      </c>
      <c r="C90" s="12" t="s">
        <v>381</v>
      </c>
      <c r="D90" s="12" t="s">
        <v>351</v>
      </c>
      <c r="E90" s="12" t="s">
        <v>382</v>
      </c>
      <c r="F90" s="12">
        <v>661</v>
      </c>
      <c r="G90" s="12" t="s">
        <v>38</v>
      </c>
      <c r="H90" s="12">
        <v>12</v>
      </c>
      <c r="I90" s="12">
        <v>9</v>
      </c>
      <c r="J90" s="12">
        <v>3</v>
      </c>
      <c r="K90" s="14">
        <v>45410</v>
      </c>
      <c r="L90" s="14">
        <v>46220</v>
      </c>
      <c r="M90" s="12">
        <v>810</v>
      </c>
      <c r="N90" s="12">
        <v>160</v>
      </c>
      <c r="O90" s="12" t="s">
        <v>383</v>
      </c>
      <c r="P90" s="12" t="s">
        <v>28</v>
      </c>
    </row>
    <row r="91" spans="1:16" x14ac:dyDescent="0.3">
      <c r="A91" s="12">
        <v>190</v>
      </c>
      <c r="B91" s="12" t="s">
        <v>384</v>
      </c>
      <c r="C91" s="12" t="s">
        <v>385</v>
      </c>
      <c r="D91" s="12" t="s">
        <v>351</v>
      </c>
      <c r="E91" s="12" t="s">
        <v>386</v>
      </c>
      <c r="F91" s="12">
        <v>926</v>
      </c>
      <c r="G91" s="12" t="s">
        <v>38</v>
      </c>
      <c r="H91" s="12">
        <v>13</v>
      </c>
      <c r="I91" s="12">
        <v>8</v>
      </c>
      <c r="J91" s="12">
        <v>5</v>
      </c>
      <c r="K91" s="14">
        <v>45411</v>
      </c>
      <c r="L91" s="14">
        <v>46233</v>
      </c>
      <c r="M91" s="12">
        <v>822</v>
      </c>
      <c r="N91" s="12">
        <v>120</v>
      </c>
      <c r="O91" s="12" t="s">
        <v>387</v>
      </c>
      <c r="P91" s="12" t="s">
        <v>28</v>
      </c>
    </row>
    <row r="92" spans="1:16" x14ac:dyDescent="0.3">
      <c r="A92" s="12">
        <v>191</v>
      </c>
      <c r="B92" s="12" t="s">
        <v>388</v>
      </c>
      <c r="C92" s="12" t="s">
        <v>389</v>
      </c>
      <c r="D92" s="12" t="s">
        <v>351</v>
      </c>
      <c r="E92" s="12" t="s">
        <v>390</v>
      </c>
      <c r="F92" s="12">
        <v>451</v>
      </c>
      <c r="G92" s="12" t="s">
        <v>20</v>
      </c>
      <c r="H92" s="12">
        <v>14</v>
      </c>
      <c r="I92" s="12">
        <v>7</v>
      </c>
      <c r="J92" s="12">
        <v>7</v>
      </c>
      <c r="K92" s="14">
        <v>45412</v>
      </c>
      <c r="L92" s="14">
        <v>46238</v>
      </c>
      <c r="M92" s="12">
        <v>826</v>
      </c>
      <c r="N92" s="12">
        <v>260</v>
      </c>
      <c r="O92" s="12" t="s">
        <v>391</v>
      </c>
      <c r="P92" s="12" t="s">
        <v>22</v>
      </c>
    </row>
    <row r="93" spans="1:16" x14ac:dyDescent="0.3">
      <c r="A93" s="12">
        <v>192</v>
      </c>
      <c r="B93" s="12" t="s">
        <v>392</v>
      </c>
      <c r="C93" s="12" t="s">
        <v>393</v>
      </c>
      <c r="D93" s="12" t="s">
        <v>351</v>
      </c>
      <c r="E93" s="12" t="s">
        <v>394</v>
      </c>
      <c r="F93" s="12">
        <v>901</v>
      </c>
      <c r="G93" s="12" t="s">
        <v>32</v>
      </c>
      <c r="H93" s="12">
        <v>15</v>
      </c>
      <c r="I93" s="12">
        <v>6</v>
      </c>
      <c r="J93" s="12">
        <v>9</v>
      </c>
      <c r="K93" s="14">
        <v>45413</v>
      </c>
      <c r="L93" s="14">
        <v>46252</v>
      </c>
      <c r="M93" s="12">
        <v>839</v>
      </c>
      <c r="N93" s="12">
        <v>280</v>
      </c>
      <c r="O93" s="12" t="s">
        <v>395</v>
      </c>
      <c r="P93" s="12" t="s">
        <v>34</v>
      </c>
    </row>
    <row r="94" spans="1:16" x14ac:dyDescent="0.3">
      <c r="A94" s="12">
        <v>193</v>
      </c>
      <c r="B94" s="12" t="s">
        <v>396</v>
      </c>
      <c r="C94" s="12" t="s">
        <v>397</v>
      </c>
      <c r="D94" s="12" t="s">
        <v>351</v>
      </c>
      <c r="E94" s="12" t="s">
        <v>398</v>
      </c>
      <c r="F94" s="12">
        <v>495</v>
      </c>
      <c r="G94" s="12" t="s">
        <v>20</v>
      </c>
      <c r="H94" s="12">
        <v>16</v>
      </c>
      <c r="I94" s="12">
        <v>5</v>
      </c>
      <c r="J94" s="12">
        <v>11</v>
      </c>
      <c r="K94" s="14">
        <v>45414</v>
      </c>
      <c r="L94" s="14">
        <v>46263</v>
      </c>
      <c r="M94" s="12">
        <v>849</v>
      </c>
      <c r="N94" s="12">
        <v>320</v>
      </c>
      <c r="O94" s="12" t="s">
        <v>399</v>
      </c>
      <c r="P94" s="12" t="s">
        <v>22</v>
      </c>
    </row>
    <row r="95" spans="1:16" x14ac:dyDescent="0.3">
      <c r="A95" s="12">
        <v>194</v>
      </c>
      <c r="B95" s="12" t="s">
        <v>400</v>
      </c>
      <c r="C95" s="12" t="s">
        <v>401</v>
      </c>
      <c r="D95" s="12" t="s">
        <v>351</v>
      </c>
      <c r="E95" s="12" t="s">
        <v>402</v>
      </c>
      <c r="F95" s="12">
        <v>924</v>
      </c>
      <c r="G95" s="12" t="s">
        <v>38</v>
      </c>
      <c r="H95" s="12">
        <v>17</v>
      </c>
      <c r="I95" s="12">
        <v>4</v>
      </c>
      <c r="J95" s="12">
        <v>13</v>
      </c>
      <c r="K95" s="14">
        <v>45415</v>
      </c>
      <c r="L95" s="14">
        <v>46270</v>
      </c>
      <c r="M95" s="12">
        <v>855</v>
      </c>
      <c r="N95" s="12">
        <v>360</v>
      </c>
      <c r="O95" s="12" t="s">
        <v>403</v>
      </c>
      <c r="P95" s="12" t="s">
        <v>34</v>
      </c>
    </row>
    <row r="96" spans="1:16" x14ac:dyDescent="0.3">
      <c r="A96" s="12">
        <v>195</v>
      </c>
      <c r="B96" s="12" t="s">
        <v>404</v>
      </c>
      <c r="C96" s="12" t="s">
        <v>405</v>
      </c>
      <c r="D96" s="12" t="s">
        <v>351</v>
      </c>
      <c r="E96" s="12" t="s">
        <v>406</v>
      </c>
      <c r="F96" s="12">
        <v>919</v>
      </c>
      <c r="G96" s="12" t="s">
        <v>32</v>
      </c>
      <c r="H96" s="12">
        <v>18</v>
      </c>
      <c r="I96" s="12">
        <v>3</v>
      </c>
      <c r="J96" s="12">
        <v>15</v>
      </c>
      <c r="K96" s="14">
        <v>45416</v>
      </c>
      <c r="L96" s="14">
        <v>46282</v>
      </c>
      <c r="M96" s="12">
        <v>866</v>
      </c>
      <c r="N96" s="12">
        <v>380</v>
      </c>
      <c r="O96" s="12" t="s">
        <v>407</v>
      </c>
      <c r="P96" s="12" t="s">
        <v>22</v>
      </c>
    </row>
    <row r="97" spans="1:16" x14ac:dyDescent="0.3">
      <c r="A97" s="12">
        <v>196</v>
      </c>
      <c r="B97" s="12" t="s">
        <v>408</v>
      </c>
      <c r="C97" s="12" t="s">
        <v>362</v>
      </c>
      <c r="D97" s="12" t="s">
        <v>351</v>
      </c>
      <c r="E97" s="12" t="s">
        <v>409</v>
      </c>
      <c r="F97" s="12">
        <v>948</v>
      </c>
      <c r="G97" s="12" t="s">
        <v>20</v>
      </c>
      <c r="H97" s="12">
        <v>19</v>
      </c>
      <c r="I97" s="12">
        <v>2</v>
      </c>
      <c r="J97" s="12">
        <v>17</v>
      </c>
      <c r="K97" s="14">
        <v>45417</v>
      </c>
      <c r="L97" s="14">
        <v>46295</v>
      </c>
      <c r="M97" s="12">
        <v>878</v>
      </c>
      <c r="N97" s="12">
        <v>400</v>
      </c>
      <c r="O97" s="12" t="s">
        <v>254</v>
      </c>
      <c r="P97" s="12" t="s">
        <v>34</v>
      </c>
    </row>
    <row r="98" spans="1:16" x14ac:dyDescent="0.3">
      <c r="A98" s="12">
        <v>197</v>
      </c>
      <c r="B98" s="12" t="s">
        <v>410</v>
      </c>
      <c r="C98" s="12" t="s">
        <v>411</v>
      </c>
      <c r="D98" s="12" t="s">
        <v>351</v>
      </c>
      <c r="E98" s="12" t="s">
        <v>412</v>
      </c>
      <c r="F98" s="12">
        <v>537</v>
      </c>
      <c r="G98" s="12" t="s">
        <v>20</v>
      </c>
      <c r="H98" s="12">
        <v>20</v>
      </c>
      <c r="I98" s="12">
        <v>1</v>
      </c>
      <c r="J98" s="12">
        <v>19</v>
      </c>
      <c r="K98" s="14">
        <v>45418</v>
      </c>
      <c r="L98" s="14">
        <v>46298</v>
      </c>
      <c r="M98" s="12">
        <v>880</v>
      </c>
      <c r="N98" s="12">
        <v>420</v>
      </c>
      <c r="O98" s="12" t="s">
        <v>413</v>
      </c>
      <c r="P98" s="12" t="s">
        <v>34</v>
      </c>
    </row>
    <row r="99" spans="1:16" x14ac:dyDescent="0.3">
      <c r="A99" s="12">
        <v>198</v>
      </c>
      <c r="B99" s="12" t="s">
        <v>414</v>
      </c>
      <c r="C99" s="12" t="s">
        <v>415</v>
      </c>
      <c r="D99" s="12" t="s">
        <v>351</v>
      </c>
      <c r="E99" s="12" t="s">
        <v>416</v>
      </c>
      <c r="F99" s="12">
        <v>252</v>
      </c>
      <c r="G99" s="12" t="s">
        <v>38</v>
      </c>
      <c r="H99" s="12">
        <v>49</v>
      </c>
      <c r="I99" s="12">
        <v>35</v>
      </c>
      <c r="J99" s="12">
        <v>14</v>
      </c>
      <c r="K99" s="14">
        <v>45419</v>
      </c>
      <c r="L99" s="14">
        <v>46311</v>
      </c>
      <c r="M99" s="12">
        <v>892</v>
      </c>
      <c r="N99" s="12">
        <v>440</v>
      </c>
      <c r="O99" s="12" t="s">
        <v>417</v>
      </c>
      <c r="P99" s="12" t="s">
        <v>28</v>
      </c>
    </row>
    <row r="100" spans="1:16" x14ac:dyDescent="0.3">
      <c r="A100" s="12">
        <v>199</v>
      </c>
      <c r="B100" s="12" t="s">
        <v>418</v>
      </c>
      <c r="C100" s="12" t="s">
        <v>419</v>
      </c>
      <c r="D100" s="12" t="s">
        <v>351</v>
      </c>
      <c r="E100" s="12" t="s">
        <v>420</v>
      </c>
      <c r="F100" s="12">
        <v>991</v>
      </c>
      <c r="G100" s="12" t="s">
        <v>32</v>
      </c>
      <c r="H100" s="12">
        <v>48</v>
      </c>
      <c r="I100" s="12">
        <v>33</v>
      </c>
      <c r="J100" s="12">
        <v>15</v>
      </c>
      <c r="K100" s="14">
        <v>45420</v>
      </c>
      <c r="L100" s="14">
        <v>46323</v>
      </c>
      <c r="M100" s="12">
        <v>903</v>
      </c>
      <c r="N100" s="12">
        <v>460</v>
      </c>
      <c r="O100" s="12" t="s">
        <v>421</v>
      </c>
      <c r="P100" s="12" t="s">
        <v>107</v>
      </c>
    </row>
    <row r="101" spans="1:16" x14ac:dyDescent="0.3">
      <c r="A101" s="12">
        <v>200</v>
      </c>
      <c r="B101" s="12" t="s">
        <v>422</v>
      </c>
      <c r="C101" s="12" t="s">
        <v>423</v>
      </c>
      <c r="D101" s="12" t="s">
        <v>351</v>
      </c>
      <c r="E101" s="12" t="s">
        <v>424</v>
      </c>
      <c r="F101" s="12">
        <v>416</v>
      </c>
      <c r="G101" s="12" t="s">
        <v>38</v>
      </c>
      <c r="H101" s="12">
        <v>47</v>
      </c>
      <c r="I101" s="12">
        <v>32</v>
      </c>
      <c r="J101" s="12">
        <v>15</v>
      </c>
      <c r="K101" s="14">
        <v>45421</v>
      </c>
      <c r="L101" s="14">
        <v>46330</v>
      </c>
      <c r="M101" s="12">
        <v>909</v>
      </c>
      <c r="N101" s="12">
        <v>480</v>
      </c>
      <c r="O101" s="12" t="s">
        <v>246</v>
      </c>
      <c r="P101" s="12" t="s">
        <v>22</v>
      </c>
    </row>
    <row r="102" spans="1:16" x14ac:dyDescent="0.3">
      <c r="A102" s="12">
        <v>201</v>
      </c>
      <c r="B102" s="12" t="s">
        <v>425</v>
      </c>
      <c r="C102" s="12" t="s">
        <v>426</v>
      </c>
      <c r="D102" s="12" t="s">
        <v>425</v>
      </c>
      <c r="E102" s="12" t="s">
        <v>427</v>
      </c>
      <c r="F102" s="12">
        <v>963</v>
      </c>
      <c r="G102" s="12" t="s">
        <v>32</v>
      </c>
      <c r="H102" s="12">
        <v>46</v>
      </c>
      <c r="I102" s="12">
        <v>23</v>
      </c>
      <c r="J102" s="12">
        <v>23</v>
      </c>
      <c r="K102" s="14">
        <v>45422</v>
      </c>
      <c r="L102" s="14">
        <v>46343</v>
      </c>
      <c r="M102" s="12">
        <v>921</v>
      </c>
      <c r="N102" s="12">
        <v>200</v>
      </c>
      <c r="O102" s="12" t="s">
        <v>428</v>
      </c>
      <c r="P102" s="12" t="s">
        <v>28</v>
      </c>
    </row>
    <row r="103" spans="1:16" x14ac:dyDescent="0.3">
      <c r="A103" s="12">
        <v>202</v>
      </c>
      <c r="B103" s="12" t="s">
        <v>429</v>
      </c>
      <c r="C103" s="12" t="s">
        <v>430</v>
      </c>
      <c r="D103" s="12" t="s">
        <v>425</v>
      </c>
      <c r="E103" s="12" t="s">
        <v>431</v>
      </c>
      <c r="F103" s="12">
        <v>387</v>
      </c>
      <c r="G103" s="12" t="s">
        <v>26</v>
      </c>
      <c r="H103" s="12">
        <v>45</v>
      </c>
      <c r="I103" s="12">
        <v>29</v>
      </c>
      <c r="J103" s="12">
        <v>16</v>
      </c>
      <c r="K103" s="14">
        <v>45423</v>
      </c>
      <c r="L103" s="14">
        <v>46355</v>
      </c>
      <c r="M103" s="12">
        <v>932</v>
      </c>
      <c r="N103" s="12">
        <v>180</v>
      </c>
      <c r="O103" s="12" t="s">
        <v>432</v>
      </c>
      <c r="P103" s="12" t="s">
        <v>22</v>
      </c>
    </row>
    <row r="104" spans="1:16" x14ac:dyDescent="0.3">
      <c r="A104" s="12">
        <v>203</v>
      </c>
      <c r="B104" s="12" t="s">
        <v>433</v>
      </c>
      <c r="C104" s="12" t="s">
        <v>434</v>
      </c>
      <c r="D104" s="12" t="s">
        <v>425</v>
      </c>
      <c r="E104" s="12" t="s">
        <v>435</v>
      </c>
      <c r="F104" s="12">
        <v>579</v>
      </c>
      <c r="G104" s="12" t="s">
        <v>65</v>
      </c>
      <c r="H104" s="12">
        <v>44</v>
      </c>
      <c r="I104" s="12">
        <v>34</v>
      </c>
      <c r="J104" s="12">
        <v>10</v>
      </c>
      <c r="K104" s="14">
        <v>45424</v>
      </c>
      <c r="L104" s="14">
        <v>46361</v>
      </c>
      <c r="M104" s="12">
        <v>937</v>
      </c>
      <c r="N104" s="12">
        <v>160</v>
      </c>
      <c r="O104" s="12" t="s">
        <v>436</v>
      </c>
      <c r="P104" s="12" t="s">
        <v>34</v>
      </c>
    </row>
    <row r="105" spans="1:16" x14ac:dyDescent="0.3">
      <c r="A105" s="12">
        <v>204</v>
      </c>
      <c r="B105" s="12" t="s">
        <v>437</v>
      </c>
      <c r="C105" s="12" t="s">
        <v>438</v>
      </c>
      <c r="D105" s="12" t="s">
        <v>425</v>
      </c>
      <c r="E105" s="12" t="s">
        <v>439</v>
      </c>
      <c r="F105" s="12">
        <v>692</v>
      </c>
      <c r="G105" s="12" t="s">
        <v>65</v>
      </c>
      <c r="H105" s="12">
        <v>43</v>
      </c>
      <c r="I105" s="12">
        <v>27</v>
      </c>
      <c r="J105" s="12">
        <v>16</v>
      </c>
      <c r="K105" s="14">
        <v>45425</v>
      </c>
      <c r="L105" s="14">
        <v>46374</v>
      </c>
      <c r="M105" s="12">
        <v>949</v>
      </c>
      <c r="N105" s="12">
        <v>140</v>
      </c>
      <c r="O105" s="12" t="s">
        <v>440</v>
      </c>
      <c r="P105" s="12" t="s">
        <v>107</v>
      </c>
    </row>
    <row r="106" spans="1:16" x14ac:dyDescent="0.3">
      <c r="A106" s="12">
        <v>205</v>
      </c>
      <c r="B106" s="12" t="s">
        <v>441</v>
      </c>
      <c r="C106" s="12" t="s">
        <v>442</v>
      </c>
      <c r="D106" s="12" t="s">
        <v>425</v>
      </c>
      <c r="E106" s="12" t="s">
        <v>443</v>
      </c>
      <c r="F106" s="12">
        <v>240</v>
      </c>
      <c r="G106" s="12" t="s">
        <v>65</v>
      </c>
      <c r="H106" s="12">
        <v>42</v>
      </c>
      <c r="I106" s="12">
        <v>34</v>
      </c>
      <c r="J106" s="12">
        <v>8</v>
      </c>
      <c r="K106" s="14">
        <v>45426</v>
      </c>
      <c r="L106" s="14">
        <v>46386</v>
      </c>
      <c r="M106" s="12">
        <v>960</v>
      </c>
      <c r="N106" s="12">
        <v>120</v>
      </c>
      <c r="O106" s="12" t="s">
        <v>444</v>
      </c>
      <c r="P106" s="12" t="s">
        <v>28</v>
      </c>
    </row>
    <row r="107" spans="1:16" x14ac:dyDescent="0.3">
      <c r="A107" s="12">
        <v>206</v>
      </c>
      <c r="B107" s="12" t="s">
        <v>445</v>
      </c>
      <c r="C107" s="12" t="s">
        <v>446</v>
      </c>
      <c r="D107" s="12" t="s">
        <v>447</v>
      </c>
      <c r="E107" s="12" t="s">
        <v>448</v>
      </c>
      <c r="F107" s="12">
        <v>356</v>
      </c>
      <c r="G107" s="12" t="s">
        <v>38</v>
      </c>
      <c r="H107" s="12">
        <v>41</v>
      </c>
      <c r="I107" s="12">
        <v>24</v>
      </c>
      <c r="J107" s="12">
        <v>17</v>
      </c>
      <c r="K107" s="14">
        <v>45427</v>
      </c>
      <c r="L107" s="14">
        <v>46391</v>
      </c>
      <c r="M107" s="12">
        <v>964</v>
      </c>
      <c r="N107" s="12">
        <v>100</v>
      </c>
      <c r="O107" s="12" t="s">
        <v>449</v>
      </c>
      <c r="P107" s="12" t="s">
        <v>28</v>
      </c>
    </row>
    <row r="108" spans="1:16" x14ac:dyDescent="0.3">
      <c r="A108" s="12">
        <v>207</v>
      </c>
      <c r="B108" s="12" t="s">
        <v>450</v>
      </c>
      <c r="C108" s="12" t="s">
        <v>451</v>
      </c>
      <c r="D108" s="12" t="s">
        <v>447</v>
      </c>
      <c r="E108" s="12" t="s">
        <v>452</v>
      </c>
      <c r="F108" s="12">
        <v>214</v>
      </c>
      <c r="G108" s="12" t="s">
        <v>26</v>
      </c>
      <c r="H108" s="12">
        <v>40</v>
      </c>
      <c r="I108" s="12">
        <v>34</v>
      </c>
      <c r="J108" s="12">
        <v>6</v>
      </c>
      <c r="K108" s="14">
        <v>45428</v>
      </c>
      <c r="L108" s="14">
        <v>46403</v>
      </c>
      <c r="M108" s="12">
        <v>975</v>
      </c>
      <c r="N108" s="12">
        <v>800</v>
      </c>
      <c r="O108" s="12" t="s">
        <v>453</v>
      </c>
      <c r="P108" s="12" t="s">
        <v>22</v>
      </c>
    </row>
    <row r="109" spans="1:16" x14ac:dyDescent="0.3">
      <c r="A109" s="12">
        <v>208</v>
      </c>
      <c r="B109" s="12" t="s">
        <v>454</v>
      </c>
      <c r="C109" s="12" t="s">
        <v>455</v>
      </c>
      <c r="D109" s="12" t="s">
        <v>447</v>
      </c>
      <c r="E109" s="12" t="s">
        <v>456</v>
      </c>
      <c r="F109" s="12">
        <v>264</v>
      </c>
      <c r="G109" s="12" t="s">
        <v>32</v>
      </c>
      <c r="H109" s="12">
        <v>39</v>
      </c>
      <c r="I109" s="12">
        <v>26</v>
      </c>
      <c r="J109" s="12">
        <v>13</v>
      </c>
      <c r="K109" s="14">
        <v>45429</v>
      </c>
      <c r="L109" s="14">
        <v>46415</v>
      </c>
      <c r="M109" s="12">
        <v>986</v>
      </c>
      <c r="N109" s="12">
        <v>600</v>
      </c>
      <c r="O109" s="12" t="s">
        <v>457</v>
      </c>
      <c r="P109" s="12" t="s">
        <v>28</v>
      </c>
    </row>
    <row r="110" spans="1:16" x14ac:dyDescent="0.3">
      <c r="A110" s="12">
        <v>209</v>
      </c>
      <c r="B110" s="12" t="s">
        <v>458</v>
      </c>
      <c r="C110" s="12" t="s">
        <v>459</v>
      </c>
      <c r="D110" s="12" t="s">
        <v>447</v>
      </c>
      <c r="E110" s="12" t="s">
        <v>460</v>
      </c>
      <c r="F110" s="12">
        <v>720</v>
      </c>
      <c r="G110" s="12" t="s">
        <v>20</v>
      </c>
      <c r="H110" s="12">
        <v>38</v>
      </c>
      <c r="I110" s="12">
        <v>23</v>
      </c>
      <c r="J110" s="12">
        <v>15</v>
      </c>
      <c r="K110" s="14">
        <v>45430</v>
      </c>
      <c r="L110" s="14">
        <v>46423</v>
      </c>
      <c r="M110" s="12">
        <v>993</v>
      </c>
      <c r="N110" s="12">
        <v>400</v>
      </c>
      <c r="O110" s="12" t="s">
        <v>461</v>
      </c>
      <c r="P110" s="12" t="s">
        <v>28</v>
      </c>
    </row>
    <row r="111" spans="1:16" x14ac:dyDescent="0.3">
      <c r="A111" s="12">
        <v>210</v>
      </c>
      <c r="B111" s="12" t="s">
        <v>462</v>
      </c>
      <c r="C111" s="12" t="s">
        <v>463</v>
      </c>
      <c r="D111" s="12" t="s">
        <v>447</v>
      </c>
      <c r="E111" s="12" t="s">
        <v>464</v>
      </c>
      <c r="F111" s="12">
        <v>543</v>
      </c>
      <c r="G111" s="12" t="s">
        <v>32</v>
      </c>
      <c r="H111" s="12">
        <v>37</v>
      </c>
      <c r="I111" s="12">
        <v>20</v>
      </c>
      <c r="J111" s="12">
        <v>17</v>
      </c>
      <c r="K111" s="14">
        <v>45431</v>
      </c>
      <c r="L111" s="14">
        <v>46435</v>
      </c>
      <c r="M111" s="12">
        <v>1004</v>
      </c>
      <c r="N111" s="12">
        <v>200</v>
      </c>
      <c r="O111" s="12" t="s">
        <v>465</v>
      </c>
      <c r="P111" s="12" t="s">
        <v>28</v>
      </c>
    </row>
    <row r="112" spans="1:16" x14ac:dyDescent="0.3">
      <c r="A112" s="12">
        <v>211</v>
      </c>
      <c r="B112" s="12" t="s">
        <v>466</v>
      </c>
      <c r="C112" s="12" t="s">
        <v>467</v>
      </c>
      <c r="D112" s="12" t="s">
        <v>447</v>
      </c>
      <c r="E112" s="12" t="s">
        <v>468</v>
      </c>
      <c r="F112" s="12">
        <v>328</v>
      </c>
      <c r="G112" s="12" t="s">
        <v>20</v>
      </c>
      <c r="H112" s="12">
        <v>36</v>
      </c>
      <c r="I112" s="12">
        <v>15</v>
      </c>
      <c r="J112" s="12">
        <v>21</v>
      </c>
      <c r="K112" s="14">
        <v>45432</v>
      </c>
      <c r="L112" s="14">
        <v>46445</v>
      </c>
      <c r="M112" s="12">
        <v>1013</v>
      </c>
      <c r="N112" s="12">
        <v>530</v>
      </c>
      <c r="O112" s="12" t="s">
        <v>469</v>
      </c>
      <c r="P112" s="12" t="s">
        <v>22</v>
      </c>
    </row>
    <row r="113" spans="1:16" x14ac:dyDescent="0.3">
      <c r="A113" s="12">
        <v>212</v>
      </c>
      <c r="B113" s="12" t="s">
        <v>470</v>
      </c>
      <c r="C113" s="12" t="s">
        <v>471</v>
      </c>
      <c r="D113" s="12" t="s">
        <v>447</v>
      </c>
      <c r="E113" s="12" t="s">
        <v>472</v>
      </c>
      <c r="F113" s="12">
        <v>847</v>
      </c>
      <c r="G113" s="12" t="s">
        <v>32</v>
      </c>
      <c r="H113" s="12">
        <v>35</v>
      </c>
      <c r="I113" s="12">
        <v>18</v>
      </c>
      <c r="J113" s="12">
        <v>17</v>
      </c>
      <c r="K113" s="14">
        <v>45433</v>
      </c>
      <c r="L113" s="14">
        <v>46450</v>
      </c>
      <c r="M113" s="12">
        <v>1017</v>
      </c>
      <c r="N113" s="12">
        <v>120</v>
      </c>
      <c r="O113" s="12" t="s">
        <v>473</v>
      </c>
      <c r="P113" s="12" t="s">
        <v>34</v>
      </c>
    </row>
    <row r="114" spans="1:16" x14ac:dyDescent="0.3">
      <c r="A114" s="12">
        <v>213</v>
      </c>
      <c r="B114" s="12" t="s">
        <v>474</v>
      </c>
      <c r="C114" s="12" t="s">
        <v>475</v>
      </c>
      <c r="D114" s="12" t="s">
        <v>447</v>
      </c>
      <c r="E114" s="12" t="s">
        <v>476</v>
      </c>
      <c r="F114" s="12">
        <v>671</v>
      </c>
      <c r="G114" s="12" t="s">
        <v>26</v>
      </c>
      <c r="H114" s="12">
        <v>34</v>
      </c>
      <c r="I114" s="12">
        <v>17</v>
      </c>
      <c r="J114" s="12">
        <v>17</v>
      </c>
      <c r="K114" s="14">
        <v>45434</v>
      </c>
      <c r="L114" s="14">
        <v>46462</v>
      </c>
      <c r="M114" s="12">
        <v>1028</v>
      </c>
      <c r="N114" s="12">
        <v>140</v>
      </c>
      <c r="O114" s="12" t="s">
        <v>477</v>
      </c>
      <c r="P114" s="12" t="s">
        <v>107</v>
      </c>
    </row>
    <row r="115" spans="1:16" x14ac:dyDescent="0.3">
      <c r="A115" s="12">
        <v>214</v>
      </c>
      <c r="B115" s="12" t="s">
        <v>478</v>
      </c>
      <c r="C115" s="12" t="s">
        <v>479</v>
      </c>
      <c r="D115" s="12" t="s">
        <v>447</v>
      </c>
      <c r="E115" s="12" t="s">
        <v>480</v>
      </c>
      <c r="F115" s="12">
        <v>262</v>
      </c>
      <c r="G115" s="12" t="s">
        <v>20</v>
      </c>
      <c r="H115" s="12">
        <v>33</v>
      </c>
      <c r="I115" s="12">
        <v>18</v>
      </c>
      <c r="J115" s="12">
        <v>15</v>
      </c>
      <c r="K115" s="14">
        <v>45435</v>
      </c>
      <c r="L115" s="14">
        <v>46474</v>
      </c>
      <c r="M115" s="12">
        <v>1039</v>
      </c>
      <c r="N115" s="12">
        <v>160</v>
      </c>
      <c r="O115" s="12" t="s">
        <v>481</v>
      </c>
      <c r="P115" s="12" t="s">
        <v>28</v>
      </c>
    </row>
    <row r="116" spans="1:16" x14ac:dyDescent="0.3">
      <c r="A116" s="12">
        <v>215</v>
      </c>
      <c r="B116" s="12" t="s">
        <v>482</v>
      </c>
      <c r="C116" s="12" t="s">
        <v>483</v>
      </c>
      <c r="D116" s="12" t="s">
        <v>447</v>
      </c>
      <c r="E116" s="12" t="s">
        <v>484</v>
      </c>
      <c r="F116" s="12">
        <v>338</v>
      </c>
      <c r="G116" s="12" t="s">
        <v>38</v>
      </c>
      <c r="H116" s="12">
        <v>32</v>
      </c>
      <c r="I116" s="12">
        <v>27</v>
      </c>
      <c r="J116" s="12">
        <v>5</v>
      </c>
      <c r="K116" s="14">
        <v>45436</v>
      </c>
      <c r="L116" s="14">
        <v>46480</v>
      </c>
      <c r="M116" s="12">
        <v>1044</v>
      </c>
      <c r="N116" s="12">
        <v>180</v>
      </c>
      <c r="O116" s="12" t="s">
        <v>485</v>
      </c>
      <c r="P116" s="12" t="s">
        <v>34</v>
      </c>
    </row>
    <row r="117" spans="1:16" x14ac:dyDescent="0.3">
      <c r="A117" s="12">
        <v>216</v>
      </c>
      <c r="B117" s="12" t="s">
        <v>486</v>
      </c>
      <c r="C117" s="12" t="s">
        <v>487</v>
      </c>
      <c r="D117" s="12" t="s">
        <v>447</v>
      </c>
      <c r="E117" s="12" t="s">
        <v>488</v>
      </c>
      <c r="F117" s="12">
        <v>698</v>
      </c>
      <c r="G117" s="12" t="s">
        <v>32</v>
      </c>
      <c r="H117" s="12">
        <v>31</v>
      </c>
      <c r="I117" s="12">
        <v>23</v>
      </c>
      <c r="J117" s="12">
        <v>8</v>
      </c>
      <c r="K117" s="14">
        <v>45437</v>
      </c>
      <c r="L117" s="14">
        <v>46492</v>
      </c>
      <c r="M117" s="12">
        <v>1055</v>
      </c>
      <c r="N117" s="12">
        <v>200</v>
      </c>
      <c r="O117" s="12" t="s">
        <v>489</v>
      </c>
      <c r="P117" s="12" t="s">
        <v>28</v>
      </c>
    </row>
    <row r="118" spans="1:16" x14ac:dyDescent="0.3">
      <c r="A118" s="12">
        <v>217</v>
      </c>
      <c r="B118" s="12" t="s">
        <v>490</v>
      </c>
      <c r="C118" s="12" t="s">
        <v>491</v>
      </c>
      <c r="D118" s="12" t="s">
        <v>447</v>
      </c>
      <c r="E118" s="12" t="s">
        <v>492</v>
      </c>
      <c r="F118" s="12">
        <v>792</v>
      </c>
      <c r="G118" s="12" t="s">
        <v>32</v>
      </c>
      <c r="H118" s="12">
        <v>30</v>
      </c>
      <c r="I118" s="12">
        <v>24</v>
      </c>
      <c r="J118" s="12">
        <v>6</v>
      </c>
      <c r="K118" s="14">
        <v>45438</v>
      </c>
      <c r="L118" s="14">
        <v>46506</v>
      </c>
      <c r="M118" s="12">
        <v>1068</v>
      </c>
      <c r="N118" s="12">
        <v>220</v>
      </c>
      <c r="O118" s="12" t="s">
        <v>493</v>
      </c>
      <c r="P118" s="12" t="s">
        <v>28</v>
      </c>
    </row>
    <row r="119" spans="1:16" x14ac:dyDescent="0.3">
      <c r="A119" s="12">
        <v>218</v>
      </c>
      <c r="B119" s="12" t="s">
        <v>494</v>
      </c>
      <c r="C119" s="12" t="s">
        <v>495</v>
      </c>
      <c r="D119" s="12" t="s">
        <v>447</v>
      </c>
      <c r="E119" s="12" t="s">
        <v>496</v>
      </c>
      <c r="F119" s="12">
        <v>591</v>
      </c>
      <c r="G119" s="12" t="s">
        <v>20</v>
      </c>
      <c r="H119" s="12">
        <v>29</v>
      </c>
      <c r="I119" s="12">
        <v>23</v>
      </c>
      <c r="J119" s="12">
        <v>6</v>
      </c>
      <c r="K119" s="14">
        <v>45439</v>
      </c>
      <c r="L119" s="14">
        <v>46511</v>
      </c>
      <c r="M119" s="12">
        <v>1072</v>
      </c>
      <c r="N119" s="12">
        <v>240</v>
      </c>
      <c r="O119" s="12" t="s">
        <v>497</v>
      </c>
      <c r="P119" s="12" t="s">
        <v>28</v>
      </c>
    </row>
    <row r="120" spans="1:16" x14ac:dyDescent="0.3">
      <c r="A120" s="12">
        <v>219</v>
      </c>
      <c r="B120" s="12" t="s">
        <v>498</v>
      </c>
      <c r="C120" s="12" t="s">
        <v>40</v>
      </c>
      <c r="D120" s="12" t="s">
        <v>447</v>
      </c>
      <c r="E120" s="12" t="s">
        <v>499</v>
      </c>
      <c r="F120" s="12">
        <v>874</v>
      </c>
      <c r="G120" s="12" t="s">
        <v>38</v>
      </c>
      <c r="H120" s="12">
        <v>28</v>
      </c>
      <c r="I120" s="12">
        <v>24</v>
      </c>
      <c r="J120" s="12">
        <v>4</v>
      </c>
      <c r="K120" s="14">
        <v>45440</v>
      </c>
      <c r="L120" s="14">
        <v>46525</v>
      </c>
      <c r="M120" s="12">
        <v>1085</v>
      </c>
      <c r="N120" s="12">
        <v>260</v>
      </c>
      <c r="O120" s="12" t="s">
        <v>500</v>
      </c>
      <c r="P120" s="12" t="s">
        <v>28</v>
      </c>
    </row>
    <row r="121" spans="1:16" x14ac:dyDescent="0.3">
      <c r="A121" s="12">
        <v>220</v>
      </c>
      <c r="B121" s="12" t="s">
        <v>501</v>
      </c>
      <c r="C121" s="12" t="s">
        <v>502</v>
      </c>
      <c r="D121" s="12" t="s">
        <v>447</v>
      </c>
      <c r="E121" s="12" t="s">
        <v>503</v>
      </c>
      <c r="F121" s="12">
        <v>618</v>
      </c>
      <c r="G121" s="12" t="s">
        <v>38</v>
      </c>
      <c r="H121" s="12">
        <v>27</v>
      </c>
      <c r="I121" s="12">
        <v>18</v>
      </c>
      <c r="J121" s="12">
        <v>9</v>
      </c>
      <c r="K121" s="14">
        <v>45441</v>
      </c>
      <c r="L121" s="14">
        <v>46537</v>
      </c>
      <c r="M121" s="12">
        <v>1096</v>
      </c>
      <c r="N121" s="12">
        <v>280</v>
      </c>
      <c r="O121" s="12" t="s">
        <v>504</v>
      </c>
      <c r="P121" s="12" t="s">
        <v>34</v>
      </c>
    </row>
    <row r="122" spans="1:16" x14ac:dyDescent="0.3">
      <c r="A122" s="12">
        <v>221</v>
      </c>
      <c r="B122" s="12" t="s">
        <v>505</v>
      </c>
      <c r="C122" s="12" t="s">
        <v>506</v>
      </c>
      <c r="D122" s="12" t="s">
        <v>447</v>
      </c>
      <c r="E122" s="12" t="s">
        <v>507</v>
      </c>
      <c r="F122" s="12">
        <v>488</v>
      </c>
      <c r="G122" s="12" t="s">
        <v>26</v>
      </c>
      <c r="H122" s="12">
        <v>26</v>
      </c>
      <c r="I122" s="12">
        <v>16</v>
      </c>
      <c r="J122" s="12">
        <v>10</v>
      </c>
      <c r="K122" s="14">
        <v>45442</v>
      </c>
      <c r="L122" s="14">
        <v>46540</v>
      </c>
      <c r="M122" s="12">
        <v>1098</v>
      </c>
      <c r="N122" s="12">
        <v>300</v>
      </c>
      <c r="O122" s="12" t="s">
        <v>508</v>
      </c>
      <c r="P122" s="12" t="s">
        <v>28</v>
      </c>
    </row>
    <row r="123" spans="1:16" x14ac:dyDescent="0.3">
      <c r="A123" s="12">
        <v>222</v>
      </c>
      <c r="B123" s="12" t="s">
        <v>509</v>
      </c>
      <c r="C123" s="12" t="s">
        <v>510</v>
      </c>
      <c r="D123" s="12" t="s">
        <v>447</v>
      </c>
      <c r="E123" s="12" t="s">
        <v>511</v>
      </c>
      <c r="F123" s="12">
        <v>578</v>
      </c>
      <c r="G123" s="12" t="s">
        <v>38</v>
      </c>
      <c r="H123" s="12">
        <v>25</v>
      </c>
      <c r="I123" s="12">
        <v>18</v>
      </c>
      <c r="J123" s="12">
        <v>7</v>
      </c>
      <c r="K123" s="14">
        <v>45443</v>
      </c>
      <c r="L123" s="14">
        <v>46554</v>
      </c>
      <c r="M123" s="12">
        <v>1111</v>
      </c>
      <c r="N123" s="12">
        <v>320</v>
      </c>
      <c r="O123" s="12" t="s">
        <v>512</v>
      </c>
      <c r="P123" s="12" t="s">
        <v>22</v>
      </c>
    </row>
    <row r="124" spans="1:16" x14ac:dyDescent="0.3">
      <c r="A124" s="12">
        <v>223</v>
      </c>
      <c r="B124" s="12" t="s">
        <v>513</v>
      </c>
      <c r="C124" s="12" t="s">
        <v>514</v>
      </c>
      <c r="D124" s="12" t="s">
        <v>447</v>
      </c>
      <c r="E124" s="12" t="s">
        <v>515</v>
      </c>
      <c r="F124" s="12">
        <v>972</v>
      </c>
      <c r="G124" s="12" t="s">
        <v>38</v>
      </c>
      <c r="H124" s="12">
        <v>24</v>
      </c>
      <c r="I124" s="12">
        <v>17</v>
      </c>
      <c r="J124" s="12">
        <v>7</v>
      </c>
      <c r="K124" s="14">
        <v>45444</v>
      </c>
      <c r="L124" s="14">
        <v>46566</v>
      </c>
      <c r="M124" s="12">
        <v>1122</v>
      </c>
      <c r="N124" s="12">
        <v>340</v>
      </c>
      <c r="O124" s="12" t="s">
        <v>516</v>
      </c>
      <c r="P124" s="12" t="s">
        <v>28</v>
      </c>
    </row>
    <row r="125" spans="1:16" x14ac:dyDescent="0.3">
      <c r="A125" s="12">
        <v>224</v>
      </c>
      <c r="B125" s="12" t="s">
        <v>83</v>
      </c>
      <c r="C125" s="12" t="s">
        <v>517</v>
      </c>
      <c r="D125" s="12" t="s">
        <v>447</v>
      </c>
      <c r="E125" s="12" t="s">
        <v>518</v>
      </c>
      <c r="F125" s="12">
        <v>689</v>
      </c>
      <c r="G125" s="12" t="s">
        <v>38</v>
      </c>
      <c r="H125" s="12">
        <v>23</v>
      </c>
      <c r="I125" s="12">
        <v>14</v>
      </c>
      <c r="J125" s="12">
        <v>9</v>
      </c>
      <c r="K125" s="14">
        <v>45445</v>
      </c>
      <c r="L125" s="14">
        <v>46571</v>
      </c>
      <c r="M125" s="12">
        <v>1126</v>
      </c>
      <c r="N125" s="12">
        <v>360</v>
      </c>
      <c r="O125" s="12" t="s">
        <v>519</v>
      </c>
      <c r="P125" s="12" t="s">
        <v>28</v>
      </c>
    </row>
    <row r="126" spans="1:16" x14ac:dyDescent="0.3">
      <c r="A126" s="12">
        <v>225</v>
      </c>
      <c r="B126" s="12" t="s">
        <v>520</v>
      </c>
      <c r="C126" s="12" t="s">
        <v>521</v>
      </c>
      <c r="D126" s="12" t="s">
        <v>447</v>
      </c>
      <c r="E126" s="12" t="s">
        <v>522</v>
      </c>
      <c r="F126" s="12">
        <v>430</v>
      </c>
      <c r="G126" s="12" t="s">
        <v>65</v>
      </c>
      <c r="H126" s="12">
        <v>22</v>
      </c>
      <c r="I126" s="12">
        <v>15</v>
      </c>
      <c r="J126" s="12">
        <v>7</v>
      </c>
      <c r="K126" s="14">
        <v>45446</v>
      </c>
      <c r="L126" s="14">
        <v>46585</v>
      </c>
      <c r="M126" s="12">
        <v>1139</v>
      </c>
      <c r="N126" s="12">
        <v>380</v>
      </c>
      <c r="O126" s="12" t="s">
        <v>523</v>
      </c>
      <c r="P126" s="12" t="s">
        <v>28</v>
      </c>
    </row>
    <row r="127" spans="1:16" x14ac:dyDescent="0.3">
      <c r="A127" s="12">
        <v>226</v>
      </c>
      <c r="B127" s="12" t="s">
        <v>524</v>
      </c>
      <c r="C127" s="12" t="s">
        <v>525</v>
      </c>
      <c r="D127" s="12" t="s">
        <v>526</v>
      </c>
      <c r="E127" s="12" t="s">
        <v>527</v>
      </c>
      <c r="F127" s="12">
        <v>240</v>
      </c>
      <c r="G127" s="12" t="s">
        <v>26</v>
      </c>
      <c r="H127" s="12">
        <v>21</v>
      </c>
      <c r="I127" s="12">
        <v>16</v>
      </c>
      <c r="J127" s="12">
        <v>5</v>
      </c>
      <c r="K127" s="14">
        <v>45447</v>
      </c>
      <c r="L127" s="14">
        <v>46598</v>
      </c>
      <c r="M127" s="12">
        <v>1151</v>
      </c>
      <c r="N127" s="12">
        <v>400</v>
      </c>
      <c r="O127" s="12" t="s">
        <v>528</v>
      </c>
      <c r="P127" s="12" t="s">
        <v>28</v>
      </c>
    </row>
    <row r="128" spans="1:16" x14ac:dyDescent="0.3">
      <c r="A128" s="12">
        <v>227</v>
      </c>
      <c r="B128" s="12" t="s">
        <v>529</v>
      </c>
      <c r="C128" s="12" t="s">
        <v>530</v>
      </c>
      <c r="D128" s="12" t="s">
        <v>526</v>
      </c>
      <c r="E128" s="12" t="s">
        <v>531</v>
      </c>
      <c r="F128" s="12">
        <v>227</v>
      </c>
      <c r="G128" s="12" t="s">
        <v>32</v>
      </c>
      <c r="H128" s="12">
        <v>20</v>
      </c>
      <c r="I128" s="12">
        <v>17</v>
      </c>
      <c r="J128" s="12">
        <v>3</v>
      </c>
      <c r="K128" s="14">
        <v>45448</v>
      </c>
      <c r="L128" s="14">
        <v>46603</v>
      </c>
      <c r="M128" s="12">
        <v>1155</v>
      </c>
      <c r="N128" s="12">
        <v>420</v>
      </c>
      <c r="O128" s="12" t="s">
        <v>532</v>
      </c>
      <c r="P128" s="12" t="s">
        <v>28</v>
      </c>
    </row>
    <row r="129" spans="1:16" x14ac:dyDescent="0.3">
      <c r="A129" s="12">
        <v>228</v>
      </c>
      <c r="B129" s="12" t="s">
        <v>533</v>
      </c>
      <c r="C129" s="12" t="s">
        <v>534</v>
      </c>
      <c r="D129" s="12" t="s">
        <v>526</v>
      </c>
      <c r="E129" s="12" t="s">
        <v>535</v>
      </c>
      <c r="F129" s="12">
        <v>334</v>
      </c>
      <c r="G129" s="12" t="s">
        <v>20</v>
      </c>
      <c r="H129" s="12">
        <v>19</v>
      </c>
      <c r="I129" s="12">
        <v>2</v>
      </c>
      <c r="J129" s="12">
        <v>17</v>
      </c>
      <c r="K129" s="14">
        <v>45449</v>
      </c>
      <c r="L129" s="14">
        <v>46617</v>
      </c>
      <c r="M129" s="12">
        <v>1168</v>
      </c>
      <c r="N129" s="12">
        <v>440</v>
      </c>
      <c r="O129" s="12" t="s">
        <v>536</v>
      </c>
      <c r="P129" s="12" t="s">
        <v>28</v>
      </c>
    </row>
    <row r="130" spans="1:16" x14ac:dyDescent="0.3">
      <c r="A130" s="12">
        <v>229</v>
      </c>
      <c r="B130" s="12" t="s">
        <v>537</v>
      </c>
      <c r="C130" s="12" t="s">
        <v>538</v>
      </c>
      <c r="D130" s="12" t="s">
        <v>526</v>
      </c>
      <c r="E130" s="12" t="s">
        <v>539</v>
      </c>
      <c r="F130" s="12">
        <v>400</v>
      </c>
      <c r="G130" s="12" t="s">
        <v>32</v>
      </c>
      <c r="H130" s="12">
        <v>18</v>
      </c>
      <c r="I130" s="12">
        <v>17</v>
      </c>
      <c r="J130" s="12">
        <v>1</v>
      </c>
      <c r="K130" s="14">
        <v>45450</v>
      </c>
      <c r="L130" s="14">
        <v>46628</v>
      </c>
      <c r="M130" s="12">
        <v>1178</v>
      </c>
      <c r="N130" s="12">
        <v>460</v>
      </c>
      <c r="O130" s="12" t="s">
        <v>540</v>
      </c>
      <c r="P130" s="12" t="s">
        <v>34</v>
      </c>
    </row>
    <row r="131" spans="1:16" x14ac:dyDescent="0.3">
      <c r="A131" s="12">
        <v>230</v>
      </c>
      <c r="B131" s="12" t="s">
        <v>541</v>
      </c>
      <c r="C131" s="12" t="s">
        <v>542</v>
      </c>
      <c r="D131" s="12" t="s">
        <v>526</v>
      </c>
      <c r="E131" s="12" t="s">
        <v>543</v>
      </c>
      <c r="F131" s="12">
        <v>979</v>
      </c>
      <c r="G131" s="12" t="s">
        <v>26</v>
      </c>
      <c r="H131" s="12">
        <v>17</v>
      </c>
      <c r="I131" s="12">
        <v>1</v>
      </c>
      <c r="J131" s="12">
        <v>16</v>
      </c>
      <c r="K131" s="14">
        <v>45451</v>
      </c>
      <c r="L131" s="14">
        <v>46635</v>
      </c>
      <c r="M131" s="12">
        <v>1184</v>
      </c>
      <c r="N131" s="12">
        <v>480</v>
      </c>
      <c r="O131" s="12" t="s">
        <v>544</v>
      </c>
      <c r="P131" s="12" t="s">
        <v>28</v>
      </c>
    </row>
    <row r="132" spans="1:16" x14ac:dyDescent="0.3">
      <c r="A132" s="12">
        <v>231</v>
      </c>
      <c r="B132" s="12" t="s">
        <v>545</v>
      </c>
      <c r="C132" s="12" t="s">
        <v>546</v>
      </c>
      <c r="D132" s="12" t="s">
        <v>526</v>
      </c>
      <c r="E132" s="12" t="s">
        <v>547</v>
      </c>
      <c r="F132" s="12">
        <v>232</v>
      </c>
      <c r="G132" s="12" t="s">
        <v>20</v>
      </c>
      <c r="H132" s="12">
        <v>16</v>
      </c>
      <c r="I132" s="12">
        <v>1</v>
      </c>
      <c r="J132" s="12">
        <v>15</v>
      </c>
      <c r="K132" s="14">
        <v>45452</v>
      </c>
      <c r="L132" s="14">
        <v>46647</v>
      </c>
      <c r="M132" s="12">
        <v>1195</v>
      </c>
      <c r="N132" s="12">
        <v>100</v>
      </c>
      <c r="O132" s="12" t="s">
        <v>548</v>
      </c>
      <c r="P132" s="12" t="s">
        <v>34</v>
      </c>
    </row>
    <row r="133" spans="1:16" x14ac:dyDescent="0.3">
      <c r="A133" s="12">
        <v>232</v>
      </c>
      <c r="B133" s="12" t="s">
        <v>549</v>
      </c>
      <c r="C133" s="12" t="s">
        <v>550</v>
      </c>
      <c r="D133" s="12" t="s">
        <v>526</v>
      </c>
      <c r="E133" s="12" t="s">
        <v>551</v>
      </c>
      <c r="F133" s="12">
        <v>247</v>
      </c>
      <c r="G133" s="12" t="s">
        <v>26</v>
      </c>
      <c r="H133" s="12">
        <v>15</v>
      </c>
      <c r="I133" s="12">
        <v>2</v>
      </c>
      <c r="J133" s="12">
        <v>13</v>
      </c>
      <c r="K133" s="14">
        <v>45453</v>
      </c>
      <c r="L133" s="14">
        <v>46660</v>
      </c>
      <c r="M133" s="12">
        <v>1207</v>
      </c>
      <c r="N133" s="12">
        <v>120</v>
      </c>
      <c r="O133" s="12" t="s">
        <v>552</v>
      </c>
      <c r="P133" s="12" t="s">
        <v>34</v>
      </c>
    </row>
    <row r="134" spans="1:16" x14ac:dyDescent="0.3">
      <c r="A134" s="12">
        <v>233</v>
      </c>
      <c r="B134" s="12" t="s">
        <v>553</v>
      </c>
      <c r="C134" s="12" t="s">
        <v>554</v>
      </c>
      <c r="D134" s="12" t="s">
        <v>526</v>
      </c>
      <c r="E134" s="12" t="s">
        <v>555</v>
      </c>
      <c r="F134" s="12">
        <v>702</v>
      </c>
      <c r="G134" s="12" t="s">
        <v>38</v>
      </c>
      <c r="H134" s="12">
        <v>14</v>
      </c>
      <c r="I134" s="12">
        <v>3</v>
      </c>
      <c r="J134" s="12">
        <v>11</v>
      </c>
      <c r="K134" s="14">
        <v>45454</v>
      </c>
      <c r="L134" s="14">
        <v>46663</v>
      </c>
      <c r="M134" s="12">
        <v>1209</v>
      </c>
      <c r="N134" s="12">
        <v>140</v>
      </c>
      <c r="O134" s="12" t="s">
        <v>556</v>
      </c>
      <c r="P134" s="12" t="s">
        <v>34</v>
      </c>
    </row>
    <row r="135" spans="1:16" x14ac:dyDescent="0.3">
      <c r="A135" s="12">
        <v>234</v>
      </c>
      <c r="B135" s="12" t="s">
        <v>557</v>
      </c>
      <c r="C135" s="12" t="s">
        <v>558</v>
      </c>
      <c r="D135" s="12" t="s">
        <v>526</v>
      </c>
      <c r="E135" s="12" t="s">
        <v>559</v>
      </c>
      <c r="F135" s="12">
        <v>606</v>
      </c>
      <c r="G135" s="12" t="s">
        <v>20</v>
      </c>
      <c r="H135" s="12">
        <v>13</v>
      </c>
      <c r="I135" s="12">
        <v>4</v>
      </c>
      <c r="J135" s="12">
        <v>9</v>
      </c>
      <c r="K135" s="14">
        <v>45455</v>
      </c>
      <c r="L135" s="14">
        <v>46676</v>
      </c>
      <c r="M135" s="12">
        <v>1221</v>
      </c>
      <c r="N135" s="12">
        <v>160</v>
      </c>
      <c r="O135" s="12" t="s">
        <v>560</v>
      </c>
      <c r="P135" s="12" t="s">
        <v>34</v>
      </c>
    </row>
    <row r="136" spans="1:16" x14ac:dyDescent="0.3">
      <c r="A136" s="12">
        <v>235</v>
      </c>
      <c r="B136" s="12" t="s">
        <v>561</v>
      </c>
      <c r="C136" s="12" t="s">
        <v>562</v>
      </c>
      <c r="D136" s="12" t="s">
        <v>526</v>
      </c>
      <c r="E136" s="12" t="s">
        <v>563</v>
      </c>
      <c r="F136" s="12">
        <v>773</v>
      </c>
      <c r="G136" s="12" t="s">
        <v>38</v>
      </c>
      <c r="H136" s="12">
        <v>12</v>
      </c>
      <c r="I136" s="12">
        <v>5</v>
      </c>
      <c r="J136" s="12">
        <v>7</v>
      </c>
      <c r="K136" s="14">
        <v>45456</v>
      </c>
      <c r="L136" s="14">
        <v>46688</v>
      </c>
      <c r="M136" s="12">
        <v>1232</v>
      </c>
      <c r="N136" s="12">
        <v>180</v>
      </c>
      <c r="O136" s="12" t="s">
        <v>564</v>
      </c>
      <c r="P136" s="12" t="s">
        <v>28</v>
      </c>
    </row>
    <row r="137" spans="1:16" x14ac:dyDescent="0.3">
      <c r="A137" s="12">
        <v>236</v>
      </c>
      <c r="B137" s="12" t="s">
        <v>565</v>
      </c>
      <c r="C137" s="12" t="s">
        <v>566</v>
      </c>
      <c r="D137" s="12" t="s">
        <v>567</v>
      </c>
      <c r="E137" s="12" t="s">
        <v>568</v>
      </c>
      <c r="F137" s="12">
        <v>927</v>
      </c>
      <c r="G137" s="12" t="s">
        <v>32</v>
      </c>
      <c r="H137" s="12">
        <v>11</v>
      </c>
      <c r="I137" s="12">
        <v>6</v>
      </c>
      <c r="J137" s="12">
        <v>5</v>
      </c>
      <c r="K137" s="14">
        <v>45457</v>
      </c>
      <c r="L137" s="14">
        <v>46695</v>
      </c>
      <c r="M137" s="12">
        <v>1238</v>
      </c>
      <c r="N137" s="12">
        <v>200</v>
      </c>
      <c r="O137" s="12" t="s">
        <v>569</v>
      </c>
      <c r="P137" s="12" t="s">
        <v>28</v>
      </c>
    </row>
    <row r="138" spans="1:16" x14ac:dyDescent="0.3">
      <c r="A138" s="12">
        <v>237</v>
      </c>
      <c r="B138" s="12" t="s">
        <v>570</v>
      </c>
      <c r="C138" s="12" t="s">
        <v>571</v>
      </c>
      <c r="D138" s="12" t="s">
        <v>567</v>
      </c>
      <c r="E138" s="12" t="s">
        <v>572</v>
      </c>
      <c r="F138" s="12">
        <v>298</v>
      </c>
      <c r="G138" s="12" t="s">
        <v>32</v>
      </c>
      <c r="H138" s="12">
        <v>10</v>
      </c>
      <c r="I138" s="12">
        <v>7</v>
      </c>
      <c r="J138" s="12">
        <v>3</v>
      </c>
      <c r="K138" s="14">
        <v>45458</v>
      </c>
      <c r="L138" s="14">
        <v>46708</v>
      </c>
      <c r="M138" s="12">
        <v>1250</v>
      </c>
      <c r="N138" s="12">
        <v>220</v>
      </c>
      <c r="O138" s="12" t="s">
        <v>573</v>
      </c>
      <c r="P138" s="12" t="s">
        <v>28</v>
      </c>
    </row>
    <row r="139" spans="1:16" x14ac:dyDescent="0.3">
      <c r="A139" s="12">
        <v>238</v>
      </c>
      <c r="B139" s="12" t="s">
        <v>574</v>
      </c>
      <c r="C139" s="12" t="s">
        <v>575</v>
      </c>
      <c r="D139" s="12" t="s">
        <v>567</v>
      </c>
      <c r="E139" s="12" t="s">
        <v>576</v>
      </c>
      <c r="F139" s="12">
        <v>883</v>
      </c>
      <c r="G139" s="12" t="s">
        <v>20</v>
      </c>
      <c r="H139" s="12">
        <v>9</v>
      </c>
      <c r="I139" s="12">
        <v>8</v>
      </c>
      <c r="J139" s="12">
        <v>1</v>
      </c>
      <c r="K139" s="14">
        <v>45459</v>
      </c>
      <c r="L139" s="14">
        <v>46720</v>
      </c>
      <c r="M139" s="12">
        <v>1261</v>
      </c>
      <c r="N139" s="12">
        <v>240</v>
      </c>
      <c r="O139" s="12" t="s">
        <v>577</v>
      </c>
      <c r="P139" s="12" t="s">
        <v>34</v>
      </c>
    </row>
    <row r="140" spans="1:16" x14ac:dyDescent="0.3">
      <c r="A140" s="12">
        <v>239</v>
      </c>
      <c r="B140" s="12" t="s">
        <v>578</v>
      </c>
      <c r="C140" s="12" t="s">
        <v>579</v>
      </c>
      <c r="D140" s="12" t="s">
        <v>567</v>
      </c>
      <c r="E140" s="12" t="s">
        <v>580</v>
      </c>
      <c r="F140" s="12">
        <v>925</v>
      </c>
      <c r="G140" s="12" t="s">
        <v>20</v>
      </c>
      <c r="H140" s="12">
        <v>9</v>
      </c>
      <c r="I140" s="12">
        <v>8</v>
      </c>
      <c r="J140" s="12">
        <v>1</v>
      </c>
      <c r="K140" s="14">
        <v>45460</v>
      </c>
      <c r="L140" s="14">
        <v>46726</v>
      </c>
      <c r="M140" s="12">
        <v>1266</v>
      </c>
      <c r="N140" s="12">
        <v>260</v>
      </c>
      <c r="O140" s="12" t="s">
        <v>581</v>
      </c>
      <c r="P140" s="12" t="s">
        <v>22</v>
      </c>
    </row>
    <row r="141" spans="1:16" x14ac:dyDescent="0.3">
      <c r="A141" s="12">
        <v>240</v>
      </c>
      <c r="B141" s="12" t="s">
        <v>582</v>
      </c>
      <c r="C141" s="12" t="s">
        <v>583</v>
      </c>
      <c r="D141" s="12" t="s">
        <v>567</v>
      </c>
      <c r="E141" s="12" t="s">
        <v>584</v>
      </c>
      <c r="F141" s="12">
        <v>746</v>
      </c>
      <c r="G141" s="12" t="s">
        <v>26</v>
      </c>
      <c r="H141" s="12">
        <v>10</v>
      </c>
      <c r="I141" s="12">
        <v>7</v>
      </c>
      <c r="J141" s="12">
        <v>3</v>
      </c>
      <c r="K141" s="14">
        <v>45461</v>
      </c>
      <c r="L141" s="14">
        <v>46739</v>
      </c>
      <c r="M141" s="12">
        <v>1278</v>
      </c>
      <c r="N141" s="12">
        <v>280</v>
      </c>
      <c r="O141" s="12" t="s">
        <v>585</v>
      </c>
      <c r="P141" s="12" t="s">
        <v>28</v>
      </c>
    </row>
    <row r="142" spans="1:16" x14ac:dyDescent="0.3">
      <c r="A142" s="12">
        <v>241</v>
      </c>
      <c r="B142" s="12" t="s">
        <v>586</v>
      </c>
      <c r="C142" s="12" t="s">
        <v>587</v>
      </c>
      <c r="D142" s="12" t="s">
        <v>567</v>
      </c>
      <c r="E142" s="12" t="s">
        <v>588</v>
      </c>
      <c r="F142" s="12">
        <v>938</v>
      </c>
      <c r="G142" s="12" t="s">
        <v>26</v>
      </c>
      <c r="H142" s="12">
        <v>11</v>
      </c>
      <c r="I142" s="12">
        <v>6</v>
      </c>
      <c r="J142" s="12">
        <v>5</v>
      </c>
      <c r="K142" s="14">
        <v>45462</v>
      </c>
      <c r="L142" s="14">
        <v>46751</v>
      </c>
      <c r="M142" s="12">
        <v>1289</v>
      </c>
      <c r="N142" s="12">
        <v>300</v>
      </c>
      <c r="O142" s="12" t="s">
        <v>589</v>
      </c>
      <c r="P142" s="12" t="s">
        <v>28</v>
      </c>
    </row>
    <row r="143" spans="1:16" x14ac:dyDescent="0.3">
      <c r="A143" s="12">
        <v>242</v>
      </c>
      <c r="B143" s="12" t="s">
        <v>590</v>
      </c>
      <c r="C143" s="12" t="s">
        <v>591</v>
      </c>
      <c r="D143" s="12" t="s">
        <v>567</v>
      </c>
      <c r="E143" s="12" t="s">
        <v>592</v>
      </c>
      <c r="F143" s="12">
        <v>812</v>
      </c>
      <c r="G143" s="12" t="s">
        <v>38</v>
      </c>
      <c r="H143" s="12">
        <v>12</v>
      </c>
      <c r="I143" s="12">
        <v>5</v>
      </c>
      <c r="J143" s="12">
        <v>7</v>
      </c>
      <c r="K143" s="14">
        <v>45463</v>
      </c>
      <c r="L143" s="14">
        <v>46756</v>
      </c>
      <c r="M143" s="12">
        <v>1293</v>
      </c>
      <c r="N143" s="12">
        <v>320</v>
      </c>
      <c r="O143" s="12" t="s">
        <v>593</v>
      </c>
      <c r="P143" s="12" t="s">
        <v>22</v>
      </c>
    </row>
    <row r="144" spans="1:16" x14ac:dyDescent="0.3">
      <c r="A144" s="12">
        <v>243</v>
      </c>
      <c r="B144" s="12" t="s">
        <v>594</v>
      </c>
      <c r="C144" s="12" t="s">
        <v>595</v>
      </c>
      <c r="D144" s="12" t="s">
        <v>567</v>
      </c>
      <c r="E144" s="12" t="s">
        <v>596</v>
      </c>
      <c r="F144" s="12">
        <v>661</v>
      </c>
      <c r="G144" s="12" t="s">
        <v>20</v>
      </c>
      <c r="H144" s="12">
        <v>13</v>
      </c>
      <c r="I144" s="12">
        <v>4</v>
      </c>
      <c r="J144" s="12">
        <v>9</v>
      </c>
      <c r="K144" s="14">
        <v>45464</v>
      </c>
      <c r="L144" s="14">
        <v>46768</v>
      </c>
      <c r="M144" s="12">
        <v>1304</v>
      </c>
      <c r="N144" s="12">
        <v>340</v>
      </c>
      <c r="O144" s="12" t="s">
        <v>597</v>
      </c>
      <c r="P144" s="12" t="s">
        <v>107</v>
      </c>
    </row>
    <row r="145" spans="1:16" x14ac:dyDescent="0.3">
      <c r="A145" s="12">
        <v>244</v>
      </c>
      <c r="B145" s="12" t="s">
        <v>598</v>
      </c>
      <c r="C145" s="12" t="s">
        <v>599</v>
      </c>
      <c r="D145" s="12" t="s">
        <v>567</v>
      </c>
      <c r="E145" s="12" t="s">
        <v>600</v>
      </c>
      <c r="F145" s="12">
        <v>842</v>
      </c>
      <c r="G145" s="12" t="s">
        <v>32</v>
      </c>
      <c r="H145" s="12">
        <v>14</v>
      </c>
      <c r="I145" s="12">
        <v>3</v>
      </c>
      <c r="J145" s="12">
        <v>11</v>
      </c>
      <c r="K145" s="14">
        <v>45465</v>
      </c>
      <c r="L145" s="14">
        <v>46780</v>
      </c>
      <c r="M145" s="12">
        <v>1315</v>
      </c>
      <c r="N145" s="12">
        <v>360</v>
      </c>
      <c r="O145" s="12" t="s">
        <v>601</v>
      </c>
      <c r="P145" s="12" t="s">
        <v>34</v>
      </c>
    </row>
    <row r="146" spans="1:16" x14ac:dyDescent="0.3">
      <c r="A146" s="12">
        <v>245</v>
      </c>
      <c r="B146" s="12" t="s">
        <v>602</v>
      </c>
      <c r="C146" s="12" t="s">
        <v>603</v>
      </c>
      <c r="D146" s="12" t="s">
        <v>567</v>
      </c>
      <c r="E146" s="12" t="s">
        <v>604</v>
      </c>
      <c r="F146" s="12">
        <v>968</v>
      </c>
      <c r="G146" s="12" t="s">
        <v>26</v>
      </c>
      <c r="H146" s="12">
        <v>15</v>
      </c>
      <c r="I146" s="12">
        <v>2</v>
      </c>
      <c r="J146" s="12">
        <v>13</v>
      </c>
      <c r="K146" s="14">
        <v>45466</v>
      </c>
      <c r="L146" s="14">
        <v>46788</v>
      </c>
      <c r="M146" s="12">
        <v>1322</v>
      </c>
      <c r="N146" s="12">
        <v>380</v>
      </c>
      <c r="O146" s="12" t="s">
        <v>605</v>
      </c>
      <c r="P146" s="12" t="s">
        <v>28</v>
      </c>
    </row>
    <row r="147" spans="1:16" x14ac:dyDescent="0.3">
      <c r="A147" s="12">
        <v>246</v>
      </c>
      <c r="B147" s="12" t="s">
        <v>606</v>
      </c>
      <c r="C147" s="12" t="s">
        <v>607</v>
      </c>
      <c r="D147" s="12" t="s">
        <v>608</v>
      </c>
      <c r="E147" s="12" t="s">
        <v>609</v>
      </c>
      <c r="F147" s="12">
        <v>204</v>
      </c>
      <c r="G147" s="12" t="s">
        <v>26</v>
      </c>
      <c r="H147" s="12">
        <v>16</v>
      </c>
      <c r="I147" s="12">
        <v>1</v>
      </c>
      <c r="J147" s="12">
        <v>15</v>
      </c>
      <c r="K147" s="14">
        <v>45467</v>
      </c>
      <c r="L147" s="14">
        <v>46800</v>
      </c>
      <c r="M147" s="12">
        <v>1333</v>
      </c>
      <c r="N147" s="12">
        <v>400</v>
      </c>
      <c r="O147" s="12" t="s">
        <v>610</v>
      </c>
      <c r="P147" s="12" t="s">
        <v>22</v>
      </c>
    </row>
    <row r="148" spans="1:16" x14ac:dyDescent="0.3">
      <c r="A148" s="12">
        <v>247</v>
      </c>
      <c r="B148" s="12" t="s">
        <v>611</v>
      </c>
      <c r="C148" s="12" t="s">
        <v>612</v>
      </c>
      <c r="D148" s="12" t="s">
        <v>608</v>
      </c>
      <c r="E148" s="12" t="s">
        <v>613</v>
      </c>
      <c r="F148" s="12">
        <v>417</v>
      </c>
      <c r="G148" s="12" t="s">
        <v>32</v>
      </c>
      <c r="H148" s="12">
        <v>49</v>
      </c>
      <c r="I148" s="12">
        <v>34</v>
      </c>
      <c r="J148" s="12">
        <v>15</v>
      </c>
      <c r="K148" s="14">
        <v>45468</v>
      </c>
      <c r="L148" s="14">
        <v>46812</v>
      </c>
      <c r="M148" s="12">
        <v>1344</v>
      </c>
      <c r="N148" s="12">
        <v>420</v>
      </c>
      <c r="O148" s="12" t="s">
        <v>614</v>
      </c>
      <c r="P148" s="12" t="s">
        <v>28</v>
      </c>
    </row>
    <row r="149" spans="1:16" x14ac:dyDescent="0.3">
      <c r="A149" s="12">
        <v>248</v>
      </c>
      <c r="B149" s="12" t="s">
        <v>615</v>
      </c>
      <c r="C149" s="12" t="s">
        <v>616</v>
      </c>
      <c r="D149" s="12" t="s">
        <v>608</v>
      </c>
      <c r="E149" s="12" t="s">
        <v>617</v>
      </c>
      <c r="F149" s="12">
        <v>702</v>
      </c>
      <c r="G149" s="12" t="s">
        <v>26</v>
      </c>
      <c r="H149" s="12">
        <v>48</v>
      </c>
      <c r="I149" s="12">
        <v>41</v>
      </c>
      <c r="J149" s="12">
        <v>7</v>
      </c>
      <c r="K149" s="14">
        <v>45469</v>
      </c>
      <c r="L149" s="14">
        <v>46816</v>
      </c>
      <c r="M149" s="12">
        <v>1347</v>
      </c>
      <c r="N149" s="12">
        <v>440</v>
      </c>
      <c r="O149" s="12" t="s">
        <v>74</v>
      </c>
      <c r="P149" s="12" t="s">
        <v>34</v>
      </c>
    </row>
    <row r="150" spans="1:16" x14ac:dyDescent="0.3">
      <c r="A150" s="12">
        <v>249</v>
      </c>
      <c r="B150" s="12" t="s">
        <v>618</v>
      </c>
      <c r="C150" s="12" t="s">
        <v>619</v>
      </c>
      <c r="D150" s="12" t="s">
        <v>608</v>
      </c>
      <c r="E150" s="12" t="s">
        <v>620</v>
      </c>
      <c r="F150" s="12">
        <v>966</v>
      </c>
      <c r="G150" s="12" t="s">
        <v>38</v>
      </c>
      <c r="H150" s="12">
        <v>47</v>
      </c>
      <c r="I150" s="12">
        <v>32</v>
      </c>
      <c r="J150" s="12">
        <v>15</v>
      </c>
      <c r="K150" s="14">
        <v>45470</v>
      </c>
      <c r="L150" s="14">
        <v>46828</v>
      </c>
      <c r="M150" s="12">
        <v>1358</v>
      </c>
      <c r="N150" s="12">
        <v>460</v>
      </c>
      <c r="O150" s="12" t="s">
        <v>621</v>
      </c>
      <c r="P150" s="12" t="s">
        <v>28</v>
      </c>
    </row>
    <row r="151" spans="1:16" x14ac:dyDescent="0.3">
      <c r="A151" s="12">
        <v>250</v>
      </c>
      <c r="B151" s="12" t="s">
        <v>622</v>
      </c>
      <c r="C151" s="12" t="s">
        <v>623</v>
      </c>
      <c r="D151" s="12" t="s">
        <v>608</v>
      </c>
      <c r="E151" s="12" t="s">
        <v>624</v>
      </c>
      <c r="F151" s="12">
        <v>597</v>
      </c>
      <c r="G151" s="12" t="s">
        <v>20</v>
      </c>
      <c r="H151" s="12">
        <v>46</v>
      </c>
      <c r="I151" s="12">
        <v>35</v>
      </c>
      <c r="J151" s="12">
        <v>11</v>
      </c>
      <c r="K151" s="14">
        <v>45471</v>
      </c>
      <c r="L151" s="14">
        <v>46840</v>
      </c>
      <c r="M151" s="12">
        <v>1369</v>
      </c>
      <c r="N151" s="12">
        <v>480</v>
      </c>
      <c r="O151" s="12" t="s">
        <v>625</v>
      </c>
      <c r="P151" s="12" t="s">
        <v>22</v>
      </c>
    </row>
    <row r="152" spans="1:16" x14ac:dyDescent="0.3">
      <c r="A152" s="12">
        <v>251</v>
      </c>
      <c r="B152" s="12" t="s">
        <v>626</v>
      </c>
      <c r="C152" s="12" t="s">
        <v>627</v>
      </c>
      <c r="D152" s="12" t="s">
        <v>606</v>
      </c>
      <c r="E152" s="12" t="s">
        <v>628</v>
      </c>
      <c r="F152" s="12">
        <v>994</v>
      </c>
      <c r="G152" s="12" t="s">
        <v>32</v>
      </c>
      <c r="H152" s="12">
        <v>45</v>
      </c>
      <c r="I152" s="12">
        <v>30</v>
      </c>
      <c r="J152" s="12">
        <v>15</v>
      </c>
      <c r="K152" s="14">
        <v>45472</v>
      </c>
      <c r="L152" s="14">
        <v>46846</v>
      </c>
      <c r="M152" s="12">
        <v>1374</v>
      </c>
      <c r="N152" s="12">
        <v>800</v>
      </c>
      <c r="O152" s="12" t="s">
        <v>629</v>
      </c>
      <c r="P152" s="12" t="s">
        <v>28</v>
      </c>
    </row>
    <row r="153" spans="1:16" x14ac:dyDescent="0.3">
      <c r="A153" s="12">
        <v>252</v>
      </c>
      <c r="B153" s="12" t="s">
        <v>630</v>
      </c>
      <c r="C153" s="12" t="s">
        <v>631</v>
      </c>
      <c r="D153" s="12" t="s">
        <v>606</v>
      </c>
      <c r="E153" s="12" t="s">
        <v>632</v>
      </c>
      <c r="F153" s="12">
        <v>592</v>
      </c>
      <c r="G153" s="12" t="s">
        <v>20</v>
      </c>
      <c r="H153" s="12">
        <v>44</v>
      </c>
      <c r="I153" s="12">
        <v>25</v>
      </c>
      <c r="J153" s="12">
        <v>19</v>
      </c>
      <c r="K153" s="14">
        <v>45473</v>
      </c>
      <c r="L153" s="14">
        <v>46858</v>
      </c>
      <c r="M153" s="12">
        <v>1385</v>
      </c>
      <c r="N153" s="12">
        <v>100</v>
      </c>
      <c r="O153" s="12" t="s">
        <v>633</v>
      </c>
      <c r="P153" s="12" t="s">
        <v>28</v>
      </c>
    </row>
    <row r="154" spans="1:16" x14ac:dyDescent="0.3">
      <c r="A154" s="12">
        <v>253</v>
      </c>
      <c r="B154" s="12" t="s">
        <v>634</v>
      </c>
      <c r="C154" s="12" t="s">
        <v>635</v>
      </c>
      <c r="D154" s="12" t="s">
        <v>606</v>
      </c>
      <c r="E154" s="12" t="s">
        <v>636</v>
      </c>
      <c r="F154" s="12">
        <v>406</v>
      </c>
      <c r="G154" s="12" t="s">
        <v>26</v>
      </c>
      <c r="H154" s="12">
        <v>43</v>
      </c>
      <c r="I154" s="12">
        <v>28</v>
      </c>
      <c r="J154" s="12">
        <v>15</v>
      </c>
      <c r="K154" s="14">
        <v>45474</v>
      </c>
      <c r="L154" s="14">
        <v>46872</v>
      </c>
      <c r="M154" s="12">
        <v>1398</v>
      </c>
      <c r="N154" s="12">
        <v>120</v>
      </c>
      <c r="O154" s="12" t="s">
        <v>637</v>
      </c>
      <c r="P154" s="12" t="s">
        <v>22</v>
      </c>
    </row>
    <row r="155" spans="1:16" x14ac:dyDescent="0.3">
      <c r="A155" s="12">
        <v>254</v>
      </c>
      <c r="B155" s="12" t="s">
        <v>638</v>
      </c>
      <c r="C155" s="12" t="s">
        <v>639</v>
      </c>
      <c r="D155" s="12" t="s">
        <v>606</v>
      </c>
      <c r="E155" s="12" t="s">
        <v>640</v>
      </c>
      <c r="F155" s="12">
        <v>214</v>
      </c>
      <c r="G155" s="12" t="s">
        <v>26</v>
      </c>
      <c r="H155" s="12">
        <v>42</v>
      </c>
      <c r="I155" s="12">
        <v>27</v>
      </c>
      <c r="J155" s="12">
        <v>15</v>
      </c>
      <c r="K155" s="14">
        <v>45475</v>
      </c>
      <c r="L155" s="14">
        <v>46877</v>
      </c>
      <c r="M155" s="12">
        <v>1402</v>
      </c>
      <c r="N155" s="12">
        <v>140</v>
      </c>
      <c r="O155" s="12" t="s">
        <v>641</v>
      </c>
      <c r="P155" s="12" t="s">
        <v>34</v>
      </c>
    </row>
    <row r="156" spans="1:16" x14ac:dyDescent="0.3">
      <c r="A156" s="12">
        <v>255</v>
      </c>
      <c r="B156" s="12" t="s">
        <v>642</v>
      </c>
      <c r="C156" s="12" t="s">
        <v>643</v>
      </c>
      <c r="D156" s="12" t="s">
        <v>606</v>
      </c>
      <c r="E156" s="12" t="s">
        <v>644</v>
      </c>
      <c r="F156" s="12">
        <v>753</v>
      </c>
      <c r="G156" s="12" t="s">
        <v>32</v>
      </c>
      <c r="H156" s="12">
        <v>41</v>
      </c>
      <c r="I156" s="12">
        <v>35</v>
      </c>
      <c r="J156" s="12">
        <v>6</v>
      </c>
      <c r="K156" s="14">
        <v>45476</v>
      </c>
      <c r="L156" s="14">
        <v>46891</v>
      </c>
      <c r="M156" s="12">
        <v>1415</v>
      </c>
      <c r="N156" s="12">
        <v>160</v>
      </c>
      <c r="O156" s="12" t="s">
        <v>645</v>
      </c>
      <c r="P156" s="12" t="s">
        <v>34</v>
      </c>
    </row>
    <row r="157" spans="1:16" x14ac:dyDescent="0.3">
      <c r="A157" s="12">
        <v>256</v>
      </c>
      <c r="B157" s="12" t="s">
        <v>646</v>
      </c>
      <c r="C157" s="12" t="s">
        <v>647</v>
      </c>
      <c r="D157" s="12" t="s">
        <v>622</v>
      </c>
      <c r="E157" s="12" t="s">
        <v>648</v>
      </c>
      <c r="F157" s="12">
        <v>660</v>
      </c>
      <c r="G157" s="12" t="s">
        <v>38</v>
      </c>
      <c r="H157" s="12">
        <v>40</v>
      </c>
      <c r="I157" s="12">
        <v>25</v>
      </c>
      <c r="J157" s="12">
        <v>15</v>
      </c>
      <c r="K157" s="14">
        <v>45477</v>
      </c>
      <c r="L157" s="14">
        <v>46903</v>
      </c>
      <c r="M157" s="12">
        <v>1426</v>
      </c>
      <c r="N157" s="12">
        <v>180</v>
      </c>
      <c r="O157" s="12" t="s">
        <v>649</v>
      </c>
      <c r="P157" s="12" t="s">
        <v>28</v>
      </c>
    </row>
    <row r="158" spans="1:16" x14ac:dyDescent="0.3">
      <c r="A158" s="12">
        <v>257</v>
      </c>
      <c r="B158" s="12" t="s">
        <v>650</v>
      </c>
      <c r="C158" s="12" t="s">
        <v>651</v>
      </c>
      <c r="D158" s="12" t="s">
        <v>622</v>
      </c>
      <c r="E158" s="12" t="s">
        <v>652</v>
      </c>
      <c r="F158" s="12">
        <v>890</v>
      </c>
      <c r="G158" s="12" t="s">
        <v>65</v>
      </c>
      <c r="H158" s="12">
        <v>39</v>
      </c>
      <c r="I158" s="12">
        <v>24</v>
      </c>
      <c r="J158" s="12">
        <v>15</v>
      </c>
      <c r="K158" s="14">
        <v>45478</v>
      </c>
      <c r="L158" s="14">
        <v>46906</v>
      </c>
      <c r="M158" s="12">
        <v>1428</v>
      </c>
      <c r="N158" s="12">
        <v>200</v>
      </c>
      <c r="O158" s="12" t="s">
        <v>653</v>
      </c>
      <c r="P158" s="12" t="s">
        <v>22</v>
      </c>
    </row>
    <row r="159" spans="1:16" x14ac:dyDescent="0.3">
      <c r="A159" s="12">
        <v>258</v>
      </c>
      <c r="B159" s="12" t="s">
        <v>654</v>
      </c>
      <c r="C159" s="12" t="s">
        <v>655</v>
      </c>
      <c r="D159" s="12" t="s">
        <v>630</v>
      </c>
      <c r="E159" s="12" t="s">
        <v>656</v>
      </c>
      <c r="F159" s="12">
        <v>774</v>
      </c>
      <c r="G159" s="12" t="s">
        <v>32</v>
      </c>
      <c r="H159" s="12">
        <v>38</v>
      </c>
      <c r="I159" s="12">
        <v>34</v>
      </c>
      <c r="J159" s="12">
        <v>4</v>
      </c>
      <c r="K159" s="14">
        <v>45479</v>
      </c>
      <c r="L159" s="14">
        <v>46920</v>
      </c>
      <c r="M159" s="12">
        <v>1441</v>
      </c>
      <c r="N159" s="12">
        <v>220</v>
      </c>
      <c r="O159" s="12" t="s">
        <v>657</v>
      </c>
      <c r="P159" s="12" t="s">
        <v>28</v>
      </c>
    </row>
    <row r="160" spans="1:16" x14ac:dyDescent="0.3">
      <c r="A160" s="12">
        <v>259</v>
      </c>
      <c r="B160" s="12" t="s">
        <v>658</v>
      </c>
      <c r="C160" s="12" t="s">
        <v>659</v>
      </c>
      <c r="D160" s="12" t="s">
        <v>630</v>
      </c>
      <c r="E160" s="12" t="s">
        <v>660</v>
      </c>
      <c r="F160" s="12">
        <v>942</v>
      </c>
      <c r="G160" s="12" t="s">
        <v>65</v>
      </c>
      <c r="H160" s="12">
        <v>37</v>
      </c>
      <c r="I160" s="12">
        <v>22</v>
      </c>
      <c r="J160" s="12">
        <v>15</v>
      </c>
      <c r="K160" s="14">
        <v>45480</v>
      </c>
      <c r="L160" s="14">
        <v>46932</v>
      </c>
      <c r="M160" s="12">
        <v>1452</v>
      </c>
      <c r="N160" s="12">
        <v>240</v>
      </c>
      <c r="O160" s="12" t="s">
        <v>661</v>
      </c>
      <c r="P160" s="12" t="s">
        <v>28</v>
      </c>
    </row>
    <row r="161" spans="1:16" x14ac:dyDescent="0.3">
      <c r="A161" s="12">
        <v>260</v>
      </c>
      <c r="B161" s="12" t="s">
        <v>662</v>
      </c>
      <c r="C161" s="12" t="s">
        <v>663</v>
      </c>
      <c r="D161" s="12" t="s">
        <v>630</v>
      </c>
      <c r="E161" s="12" t="s">
        <v>664</v>
      </c>
      <c r="F161" s="12">
        <v>440</v>
      </c>
      <c r="G161" s="12" t="s">
        <v>65</v>
      </c>
      <c r="H161" s="12">
        <v>36</v>
      </c>
      <c r="I161" s="12">
        <v>24</v>
      </c>
      <c r="J161" s="12">
        <v>12</v>
      </c>
      <c r="K161" s="14">
        <v>45481</v>
      </c>
      <c r="L161" s="14">
        <v>46937</v>
      </c>
      <c r="M161" s="12">
        <v>1456</v>
      </c>
      <c r="N161" s="12">
        <v>260</v>
      </c>
      <c r="O161" s="12" t="s">
        <v>665</v>
      </c>
      <c r="P161" s="12" t="s">
        <v>28</v>
      </c>
    </row>
    <row r="162" spans="1:16" x14ac:dyDescent="0.3">
      <c r="A162" s="12">
        <v>261</v>
      </c>
      <c r="B162" s="12" t="s">
        <v>666</v>
      </c>
      <c r="C162" s="12" t="s">
        <v>667</v>
      </c>
      <c r="D162" s="12" t="s">
        <v>668</v>
      </c>
      <c r="E162" s="12" t="s">
        <v>669</v>
      </c>
      <c r="F162" s="12">
        <v>763</v>
      </c>
      <c r="G162" s="12" t="s">
        <v>38</v>
      </c>
      <c r="H162" s="12">
        <v>35</v>
      </c>
      <c r="I162" s="12">
        <v>20</v>
      </c>
      <c r="J162" s="12">
        <v>15</v>
      </c>
      <c r="K162" s="14">
        <v>45482</v>
      </c>
      <c r="L162" s="14">
        <v>46951</v>
      </c>
      <c r="M162" s="12">
        <v>1469</v>
      </c>
      <c r="N162" s="12">
        <v>280</v>
      </c>
      <c r="O162" s="12" t="s">
        <v>670</v>
      </c>
      <c r="P162" s="12" t="s">
        <v>28</v>
      </c>
    </row>
    <row r="163" spans="1:16" x14ac:dyDescent="0.3">
      <c r="A163" s="12">
        <v>262</v>
      </c>
      <c r="B163" s="12" t="s">
        <v>671</v>
      </c>
      <c r="C163" s="12" t="s">
        <v>672</v>
      </c>
      <c r="D163" s="12" t="s">
        <v>668</v>
      </c>
      <c r="E163" s="12" t="s">
        <v>673</v>
      </c>
      <c r="F163" s="12">
        <v>295</v>
      </c>
      <c r="G163" s="12" t="s">
        <v>65</v>
      </c>
      <c r="H163" s="12">
        <v>34</v>
      </c>
      <c r="I163" s="12">
        <v>19</v>
      </c>
      <c r="J163" s="12">
        <v>15</v>
      </c>
      <c r="K163" s="14">
        <v>45483</v>
      </c>
      <c r="L163" s="14">
        <v>46964</v>
      </c>
      <c r="M163" s="12">
        <v>1481</v>
      </c>
      <c r="N163" s="12">
        <v>300</v>
      </c>
      <c r="O163" s="12" t="s">
        <v>344</v>
      </c>
      <c r="P163" s="12" t="s">
        <v>28</v>
      </c>
    </row>
    <row r="164" spans="1:16" x14ac:dyDescent="0.3">
      <c r="A164" s="12">
        <v>263</v>
      </c>
      <c r="B164" s="12" t="s">
        <v>674</v>
      </c>
      <c r="C164" s="12" t="s">
        <v>675</v>
      </c>
      <c r="D164" s="12" t="s">
        <v>668</v>
      </c>
      <c r="E164" s="12" t="s">
        <v>676</v>
      </c>
      <c r="F164" s="12">
        <v>933</v>
      </c>
      <c r="G164" s="12" t="s">
        <v>65</v>
      </c>
      <c r="H164" s="12">
        <v>33</v>
      </c>
      <c r="I164" s="12">
        <v>18</v>
      </c>
      <c r="J164" s="12">
        <v>15</v>
      </c>
      <c r="K164" s="14">
        <v>45484</v>
      </c>
      <c r="L164" s="14">
        <v>46969</v>
      </c>
      <c r="M164" s="12">
        <v>1485</v>
      </c>
      <c r="N164" s="12">
        <v>320</v>
      </c>
      <c r="O164" s="12" t="s">
        <v>677</v>
      </c>
      <c r="P164" s="12" t="s">
        <v>22</v>
      </c>
    </row>
    <row r="165" spans="1:16" x14ac:dyDescent="0.3">
      <c r="A165" s="12">
        <v>264</v>
      </c>
      <c r="B165" s="12" t="s">
        <v>678</v>
      </c>
      <c r="C165" s="12" t="s">
        <v>679</v>
      </c>
      <c r="D165" s="12" t="s">
        <v>668</v>
      </c>
      <c r="E165" s="12" t="s">
        <v>680</v>
      </c>
      <c r="F165" s="12">
        <v>684</v>
      </c>
      <c r="G165" s="12" t="s">
        <v>38</v>
      </c>
      <c r="H165" s="12">
        <v>32</v>
      </c>
      <c r="I165" s="12">
        <v>22</v>
      </c>
      <c r="J165" s="12">
        <v>10</v>
      </c>
      <c r="K165" s="14">
        <v>45485</v>
      </c>
      <c r="L165" s="14">
        <v>46983</v>
      </c>
      <c r="M165" s="12">
        <v>1498</v>
      </c>
      <c r="N165" s="12">
        <v>340</v>
      </c>
      <c r="O165" s="12" t="s">
        <v>681</v>
      </c>
      <c r="P165" s="12" t="s">
        <v>28</v>
      </c>
    </row>
    <row r="166" spans="1:16" x14ac:dyDescent="0.3">
      <c r="A166" s="12">
        <v>265</v>
      </c>
      <c r="B166" s="12" t="s">
        <v>682</v>
      </c>
      <c r="C166" s="12" t="s">
        <v>683</v>
      </c>
      <c r="D166" s="12" t="s">
        <v>668</v>
      </c>
      <c r="E166" s="12" t="s">
        <v>684</v>
      </c>
      <c r="F166" s="12">
        <v>606</v>
      </c>
      <c r="G166" s="12" t="s">
        <v>65</v>
      </c>
      <c r="H166" s="12">
        <v>31</v>
      </c>
      <c r="I166" s="12">
        <v>16</v>
      </c>
      <c r="J166" s="12">
        <v>15</v>
      </c>
      <c r="K166" s="14">
        <v>45486</v>
      </c>
      <c r="L166" s="14">
        <v>46994</v>
      </c>
      <c r="M166" s="12">
        <v>1508</v>
      </c>
      <c r="N166" s="12">
        <v>360</v>
      </c>
      <c r="O166" s="12" t="s">
        <v>685</v>
      </c>
      <c r="P166" s="12" t="s">
        <v>28</v>
      </c>
    </row>
    <row r="167" spans="1:16" x14ac:dyDescent="0.3">
      <c r="A167" s="12">
        <v>266</v>
      </c>
      <c r="B167" s="12" t="s">
        <v>686</v>
      </c>
      <c r="C167" s="12" t="s">
        <v>687</v>
      </c>
      <c r="D167" s="12" t="s">
        <v>688</v>
      </c>
      <c r="E167" s="12" t="s">
        <v>689</v>
      </c>
      <c r="F167" s="12">
        <v>430</v>
      </c>
      <c r="G167" s="12" t="s">
        <v>65</v>
      </c>
      <c r="H167" s="12">
        <v>30</v>
      </c>
      <c r="I167" s="12">
        <v>18</v>
      </c>
      <c r="J167" s="12">
        <v>12</v>
      </c>
      <c r="K167" s="14">
        <v>45487</v>
      </c>
      <c r="L167" s="14">
        <v>47001</v>
      </c>
      <c r="M167" s="12">
        <v>1514</v>
      </c>
      <c r="N167" s="12">
        <v>380</v>
      </c>
      <c r="O167" s="12" t="s">
        <v>690</v>
      </c>
      <c r="P167" s="12" t="s">
        <v>28</v>
      </c>
    </row>
    <row r="168" spans="1:16" x14ac:dyDescent="0.3">
      <c r="A168" s="12">
        <v>267</v>
      </c>
      <c r="B168" s="12" t="s">
        <v>691</v>
      </c>
      <c r="C168" s="12" t="s">
        <v>692</v>
      </c>
      <c r="D168" s="12" t="s">
        <v>688</v>
      </c>
      <c r="E168" s="12" t="s">
        <v>693</v>
      </c>
      <c r="F168" s="12">
        <v>948</v>
      </c>
      <c r="G168" s="12" t="s">
        <v>65</v>
      </c>
      <c r="H168" s="12">
        <v>29</v>
      </c>
      <c r="I168" s="12">
        <v>14</v>
      </c>
      <c r="J168" s="12">
        <v>15</v>
      </c>
      <c r="K168" s="14">
        <v>45488</v>
      </c>
      <c r="L168" s="14">
        <v>47013</v>
      </c>
      <c r="M168" s="12">
        <v>1525</v>
      </c>
      <c r="N168" s="12">
        <v>400</v>
      </c>
      <c r="O168" s="12" t="s">
        <v>694</v>
      </c>
      <c r="P168" s="12" t="s">
        <v>28</v>
      </c>
    </row>
    <row r="169" spans="1:16" x14ac:dyDescent="0.3">
      <c r="A169" s="12">
        <v>268</v>
      </c>
      <c r="B169" s="12" t="s">
        <v>695</v>
      </c>
      <c r="C169" s="12" t="s">
        <v>696</v>
      </c>
      <c r="D169" s="12" t="s">
        <v>688</v>
      </c>
      <c r="E169" s="12" t="s">
        <v>697</v>
      </c>
      <c r="F169" s="12">
        <v>854</v>
      </c>
      <c r="G169" s="12" t="s">
        <v>32</v>
      </c>
      <c r="H169" s="12">
        <v>28</v>
      </c>
      <c r="I169" s="12">
        <v>22</v>
      </c>
      <c r="J169" s="12">
        <v>6</v>
      </c>
      <c r="K169" s="14">
        <v>45489</v>
      </c>
      <c r="L169" s="14">
        <v>47026</v>
      </c>
      <c r="M169" s="12">
        <v>1537</v>
      </c>
      <c r="N169" s="12">
        <v>420</v>
      </c>
      <c r="O169" s="12" t="s">
        <v>698</v>
      </c>
      <c r="P169" s="12" t="s">
        <v>28</v>
      </c>
    </row>
    <row r="170" spans="1:16" x14ac:dyDescent="0.3">
      <c r="A170" s="12">
        <v>269</v>
      </c>
      <c r="B170" s="12" t="s">
        <v>699</v>
      </c>
      <c r="C170" s="12" t="s">
        <v>700</v>
      </c>
      <c r="D170" s="12" t="s">
        <v>688</v>
      </c>
      <c r="E170" s="12" t="s">
        <v>701</v>
      </c>
      <c r="F170" s="12">
        <v>370</v>
      </c>
      <c r="G170" s="12" t="s">
        <v>32</v>
      </c>
      <c r="H170" s="12">
        <v>27</v>
      </c>
      <c r="I170" s="12">
        <v>12</v>
      </c>
      <c r="J170" s="12">
        <v>15</v>
      </c>
      <c r="K170" s="14">
        <v>45490</v>
      </c>
      <c r="L170" s="14">
        <v>47029</v>
      </c>
      <c r="M170" s="12">
        <v>1539</v>
      </c>
      <c r="N170" s="12">
        <v>440</v>
      </c>
      <c r="O170" s="12" t="s">
        <v>702</v>
      </c>
      <c r="P170" s="12" t="s">
        <v>28</v>
      </c>
    </row>
    <row r="171" spans="1:16" x14ac:dyDescent="0.3">
      <c r="A171" s="12">
        <v>270</v>
      </c>
      <c r="B171" s="12" t="s">
        <v>703</v>
      </c>
      <c r="C171" s="12" t="s">
        <v>704</v>
      </c>
      <c r="D171" s="12" t="s">
        <v>688</v>
      </c>
      <c r="E171" s="12" t="s">
        <v>705</v>
      </c>
      <c r="F171" s="12">
        <v>740</v>
      </c>
      <c r="G171" s="12" t="s">
        <v>32</v>
      </c>
      <c r="H171" s="12">
        <v>26</v>
      </c>
      <c r="I171" s="12">
        <v>7</v>
      </c>
      <c r="J171" s="12">
        <v>19</v>
      </c>
      <c r="K171" s="14">
        <v>45491</v>
      </c>
      <c r="L171" s="14">
        <v>47042</v>
      </c>
      <c r="M171" s="12">
        <v>1551</v>
      </c>
      <c r="N171" s="12">
        <v>460</v>
      </c>
      <c r="O171" s="12" t="s">
        <v>391</v>
      </c>
      <c r="P171" s="12" t="s">
        <v>28</v>
      </c>
    </row>
    <row r="172" spans="1:16" x14ac:dyDescent="0.3">
      <c r="A172" s="12">
        <v>271</v>
      </c>
      <c r="B172" s="12" t="s">
        <v>706</v>
      </c>
      <c r="C172" s="12" t="s">
        <v>707</v>
      </c>
      <c r="D172" s="12" t="s">
        <v>688</v>
      </c>
      <c r="E172" s="12" t="s">
        <v>708</v>
      </c>
      <c r="F172" s="12">
        <v>235</v>
      </c>
      <c r="G172" s="12" t="s">
        <v>38</v>
      </c>
      <c r="H172" s="12">
        <v>25</v>
      </c>
      <c r="I172" s="12">
        <v>10</v>
      </c>
      <c r="J172" s="12">
        <v>15</v>
      </c>
      <c r="K172" s="14">
        <v>45492</v>
      </c>
      <c r="L172" s="14">
        <v>47054</v>
      </c>
      <c r="M172" s="12">
        <v>1562</v>
      </c>
      <c r="N172" s="12">
        <v>480</v>
      </c>
      <c r="O172" s="12" t="s">
        <v>709</v>
      </c>
      <c r="P172" s="12" t="s">
        <v>34</v>
      </c>
    </row>
    <row r="173" spans="1:16" x14ac:dyDescent="0.3">
      <c r="A173" s="12">
        <v>272</v>
      </c>
      <c r="B173" s="12" t="s">
        <v>710</v>
      </c>
      <c r="C173" s="12" t="s">
        <v>711</v>
      </c>
      <c r="D173" s="12" t="s">
        <v>688</v>
      </c>
      <c r="E173" s="12" t="s">
        <v>712</v>
      </c>
      <c r="F173" s="12">
        <v>724</v>
      </c>
      <c r="G173" s="12" t="s">
        <v>26</v>
      </c>
      <c r="H173" s="12">
        <v>24</v>
      </c>
      <c r="I173" s="12">
        <v>4</v>
      </c>
      <c r="J173" s="12">
        <v>20</v>
      </c>
      <c r="K173" s="14">
        <v>45493</v>
      </c>
      <c r="L173" s="14">
        <v>47061</v>
      </c>
      <c r="M173" s="12">
        <v>1568</v>
      </c>
      <c r="N173" s="12">
        <v>600</v>
      </c>
      <c r="O173" s="12" t="s">
        <v>713</v>
      </c>
      <c r="P173" s="12" t="s">
        <v>34</v>
      </c>
    </row>
    <row r="174" spans="1:16" x14ac:dyDescent="0.3">
      <c r="A174" s="12">
        <v>273</v>
      </c>
      <c r="B174" s="12" t="s">
        <v>714</v>
      </c>
      <c r="C174" s="12" t="s">
        <v>715</v>
      </c>
      <c r="D174" s="12" t="s">
        <v>688</v>
      </c>
      <c r="E174" s="12" t="s">
        <v>716</v>
      </c>
      <c r="F174" s="12">
        <v>359</v>
      </c>
      <c r="G174" s="12" t="s">
        <v>65</v>
      </c>
      <c r="H174" s="12">
        <v>23</v>
      </c>
      <c r="I174" s="12">
        <v>8</v>
      </c>
      <c r="J174" s="12">
        <v>15</v>
      </c>
      <c r="K174" s="14">
        <v>45494</v>
      </c>
      <c r="L174" s="14">
        <v>47074</v>
      </c>
      <c r="M174" s="12">
        <v>1580</v>
      </c>
      <c r="N174" s="12">
        <v>800</v>
      </c>
      <c r="O174" s="12" t="s">
        <v>717</v>
      </c>
      <c r="P174" s="12" t="s">
        <v>28</v>
      </c>
    </row>
    <row r="175" spans="1:16" x14ac:dyDescent="0.3">
      <c r="A175" s="12">
        <v>274</v>
      </c>
      <c r="B175" s="12" t="s">
        <v>718</v>
      </c>
      <c r="C175" s="12" t="s">
        <v>719</v>
      </c>
      <c r="D175" s="12" t="s">
        <v>688</v>
      </c>
      <c r="E175" s="12" t="s">
        <v>720</v>
      </c>
      <c r="F175" s="12">
        <v>898</v>
      </c>
      <c r="G175" s="12" t="s">
        <v>65</v>
      </c>
      <c r="H175" s="12">
        <v>22</v>
      </c>
      <c r="I175" s="12">
        <v>13</v>
      </c>
      <c r="J175" s="12">
        <v>9</v>
      </c>
      <c r="K175" s="14">
        <v>45495</v>
      </c>
      <c r="L175" s="14">
        <v>47086</v>
      </c>
      <c r="M175" s="12">
        <v>1591</v>
      </c>
      <c r="N175" s="12">
        <v>100</v>
      </c>
      <c r="O175" s="12" t="s">
        <v>721</v>
      </c>
      <c r="P175" s="12" t="s">
        <v>28</v>
      </c>
    </row>
    <row r="176" spans="1:16" x14ac:dyDescent="0.3">
      <c r="A176" s="12">
        <v>275</v>
      </c>
      <c r="B176" s="12" t="s">
        <v>722</v>
      </c>
      <c r="C176" s="12" t="s">
        <v>723</v>
      </c>
      <c r="D176" s="12" t="s">
        <v>688</v>
      </c>
      <c r="E176" s="12" t="s">
        <v>724</v>
      </c>
      <c r="F176" s="12">
        <v>442</v>
      </c>
      <c r="G176" s="12" t="s">
        <v>38</v>
      </c>
      <c r="H176" s="12">
        <v>21</v>
      </c>
      <c r="I176" s="12">
        <v>6</v>
      </c>
      <c r="J176" s="12">
        <v>15</v>
      </c>
      <c r="K176" s="14">
        <v>45879</v>
      </c>
      <c r="L176" s="14">
        <v>47092</v>
      </c>
      <c r="M176" s="12">
        <v>1213</v>
      </c>
      <c r="N176" s="12">
        <v>120</v>
      </c>
      <c r="O176" s="12" t="s">
        <v>725</v>
      </c>
      <c r="P176" s="12" t="s">
        <v>28</v>
      </c>
    </row>
    <row r="177" spans="1:16" x14ac:dyDescent="0.3">
      <c r="A177" s="12">
        <v>276</v>
      </c>
      <c r="B177" s="12" t="s">
        <v>726</v>
      </c>
      <c r="C177" s="12" t="s">
        <v>538</v>
      </c>
      <c r="D177" s="12" t="s">
        <v>727</v>
      </c>
      <c r="E177" s="12" t="s">
        <v>728</v>
      </c>
      <c r="F177" s="12">
        <v>285</v>
      </c>
      <c r="G177" s="12" t="s">
        <v>65</v>
      </c>
      <c r="H177" s="12">
        <v>20</v>
      </c>
      <c r="I177" s="12">
        <v>6</v>
      </c>
      <c r="J177" s="12">
        <v>14</v>
      </c>
      <c r="K177" s="14">
        <v>45878</v>
      </c>
      <c r="L177" s="14">
        <v>47105</v>
      </c>
      <c r="M177" s="12">
        <v>1227</v>
      </c>
      <c r="N177" s="12">
        <v>140</v>
      </c>
      <c r="O177" s="12" t="s">
        <v>729</v>
      </c>
      <c r="P177" s="12" t="s">
        <v>28</v>
      </c>
    </row>
    <row r="178" spans="1:16" x14ac:dyDescent="0.3">
      <c r="A178" s="12">
        <v>277</v>
      </c>
      <c r="B178" s="12" t="s">
        <v>730</v>
      </c>
      <c r="C178" s="12" t="s">
        <v>731</v>
      </c>
      <c r="D178" s="12" t="s">
        <v>727</v>
      </c>
      <c r="E178" s="12" t="s">
        <v>732</v>
      </c>
      <c r="F178" s="12">
        <v>995</v>
      </c>
      <c r="G178" s="12" t="s">
        <v>32</v>
      </c>
      <c r="H178" s="12">
        <v>19</v>
      </c>
      <c r="I178" s="12">
        <v>7</v>
      </c>
      <c r="J178" s="12">
        <v>12</v>
      </c>
      <c r="K178" s="14">
        <v>45877</v>
      </c>
      <c r="L178" s="14">
        <v>47117</v>
      </c>
      <c r="M178" s="12">
        <v>1240</v>
      </c>
      <c r="N178" s="12">
        <v>160</v>
      </c>
      <c r="O178" s="12" t="s">
        <v>516</v>
      </c>
      <c r="P178" s="12" t="s">
        <v>28</v>
      </c>
    </row>
    <row r="179" spans="1:16" x14ac:dyDescent="0.3">
      <c r="A179" s="12">
        <v>278</v>
      </c>
      <c r="B179" s="12" t="s">
        <v>733</v>
      </c>
      <c r="C179" s="12" t="s">
        <v>734</v>
      </c>
      <c r="D179" s="12" t="s">
        <v>727</v>
      </c>
      <c r="E179" s="12" t="s">
        <v>735</v>
      </c>
      <c r="F179" s="12">
        <v>777</v>
      </c>
      <c r="G179" s="12" t="s">
        <v>26</v>
      </c>
      <c r="H179" s="12">
        <v>18</v>
      </c>
      <c r="I179" s="12">
        <v>3</v>
      </c>
      <c r="J179" s="12">
        <v>15</v>
      </c>
      <c r="K179" s="14">
        <v>45876</v>
      </c>
      <c r="L179" s="14">
        <v>45890</v>
      </c>
      <c r="M179" s="12">
        <v>14</v>
      </c>
      <c r="N179" s="12">
        <v>180</v>
      </c>
      <c r="O179" s="12" t="s">
        <v>593</v>
      </c>
      <c r="P179" s="12" t="s">
        <v>34</v>
      </c>
    </row>
    <row r="180" spans="1:16" x14ac:dyDescent="0.3">
      <c r="A180" s="12">
        <v>279</v>
      </c>
      <c r="B180" s="12" t="s">
        <v>736</v>
      </c>
      <c r="C180" s="12" t="s">
        <v>737</v>
      </c>
      <c r="D180" s="12" t="s">
        <v>727</v>
      </c>
      <c r="E180" s="12" t="s">
        <v>738</v>
      </c>
      <c r="F180" s="12">
        <v>881</v>
      </c>
      <c r="G180" s="12" t="s">
        <v>20</v>
      </c>
      <c r="H180" s="12">
        <v>17</v>
      </c>
      <c r="I180" s="12">
        <v>9</v>
      </c>
      <c r="J180" s="12">
        <v>8</v>
      </c>
      <c r="K180" s="14">
        <v>45875</v>
      </c>
      <c r="L180" s="14">
        <v>45893</v>
      </c>
      <c r="M180" s="12">
        <v>18</v>
      </c>
      <c r="N180" s="12">
        <v>200</v>
      </c>
      <c r="O180" s="12" t="s">
        <v>185</v>
      </c>
      <c r="P180" s="12" t="s">
        <v>22</v>
      </c>
    </row>
    <row r="181" spans="1:16" x14ac:dyDescent="0.3">
      <c r="A181" s="12">
        <v>280</v>
      </c>
      <c r="B181" s="12" t="s">
        <v>739</v>
      </c>
      <c r="C181" s="12" t="s">
        <v>740</v>
      </c>
      <c r="D181" s="12" t="s">
        <v>727</v>
      </c>
      <c r="E181" s="12" t="s">
        <v>741</v>
      </c>
      <c r="F181" s="12">
        <v>756</v>
      </c>
      <c r="G181" s="12" t="s">
        <v>65</v>
      </c>
      <c r="H181" s="12">
        <v>16</v>
      </c>
      <c r="I181" s="12">
        <v>1</v>
      </c>
      <c r="J181" s="12">
        <v>15</v>
      </c>
      <c r="K181" s="14">
        <v>45874</v>
      </c>
      <c r="L181" s="14">
        <v>45885</v>
      </c>
      <c r="M181" s="12">
        <v>11</v>
      </c>
      <c r="N181" s="12">
        <v>220</v>
      </c>
      <c r="O181" s="12" t="s">
        <v>742</v>
      </c>
      <c r="P181" s="12" t="s">
        <v>28</v>
      </c>
    </row>
    <row r="182" spans="1:16" x14ac:dyDescent="0.3">
      <c r="A182" s="12">
        <v>281</v>
      </c>
      <c r="B182" s="12" t="s">
        <v>743</v>
      </c>
      <c r="C182" s="12" t="s">
        <v>744</v>
      </c>
      <c r="D182" s="12" t="s">
        <v>727</v>
      </c>
      <c r="E182" s="12" t="s">
        <v>745</v>
      </c>
      <c r="F182" s="12">
        <v>773</v>
      </c>
      <c r="G182" s="12" t="s">
        <v>32</v>
      </c>
      <c r="H182" s="12">
        <v>15</v>
      </c>
      <c r="I182" s="12">
        <v>1</v>
      </c>
      <c r="J182" s="12">
        <v>14</v>
      </c>
      <c r="K182" s="14">
        <v>45873</v>
      </c>
      <c r="L182" s="14">
        <v>45887</v>
      </c>
      <c r="M182" s="12">
        <v>14</v>
      </c>
      <c r="N182" s="12">
        <v>240</v>
      </c>
      <c r="O182" s="12" t="s">
        <v>746</v>
      </c>
      <c r="P182" s="12" t="s">
        <v>28</v>
      </c>
    </row>
    <row r="183" spans="1:16" x14ac:dyDescent="0.3">
      <c r="A183" s="12">
        <v>282</v>
      </c>
      <c r="B183" s="12" t="s">
        <v>747</v>
      </c>
      <c r="C183" s="12" t="s">
        <v>748</v>
      </c>
      <c r="D183" s="12" t="s">
        <v>727</v>
      </c>
      <c r="E183" s="12" t="s">
        <v>749</v>
      </c>
      <c r="F183" s="12">
        <v>845</v>
      </c>
      <c r="G183" s="12" t="s">
        <v>20</v>
      </c>
      <c r="H183" s="12">
        <v>14</v>
      </c>
      <c r="I183" s="12">
        <v>2</v>
      </c>
      <c r="J183" s="12">
        <v>12</v>
      </c>
      <c r="K183" s="14">
        <v>45872</v>
      </c>
      <c r="L183" s="14">
        <v>45893</v>
      </c>
      <c r="M183" s="12">
        <v>21</v>
      </c>
      <c r="N183" s="12">
        <v>260</v>
      </c>
      <c r="O183" s="12" t="s">
        <v>750</v>
      </c>
      <c r="P183" s="12" t="s">
        <v>28</v>
      </c>
    </row>
    <row r="184" spans="1:16" x14ac:dyDescent="0.3">
      <c r="A184" s="12">
        <v>283</v>
      </c>
      <c r="B184" s="12" t="s">
        <v>751</v>
      </c>
      <c r="C184" s="12" t="s">
        <v>752</v>
      </c>
      <c r="D184" s="12" t="s">
        <v>727</v>
      </c>
      <c r="E184" s="12" t="s">
        <v>753</v>
      </c>
      <c r="F184" s="12">
        <v>995</v>
      </c>
      <c r="G184" s="12" t="s">
        <v>26</v>
      </c>
      <c r="H184" s="12">
        <v>13</v>
      </c>
      <c r="I184" s="12">
        <v>3</v>
      </c>
      <c r="J184" s="12">
        <v>10</v>
      </c>
      <c r="K184" s="14">
        <v>45871</v>
      </c>
      <c r="L184" s="14">
        <v>45884</v>
      </c>
      <c r="M184" s="12">
        <v>13</v>
      </c>
      <c r="N184" s="12">
        <v>280</v>
      </c>
      <c r="O184" s="12" t="s">
        <v>754</v>
      </c>
      <c r="P184" s="12" t="s">
        <v>107</v>
      </c>
    </row>
    <row r="185" spans="1:16" x14ac:dyDescent="0.3">
      <c r="A185" s="12">
        <v>284</v>
      </c>
      <c r="B185" s="12" t="s">
        <v>755</v>
      </c>
      <c r="C185" s="12" t="s">
        <v>756</v>
      </c>
      <c r="D185" s="12" t="s">
        <v>727</v>
      </c>
      <c r="E185" s="12" t="s">
        <v>757</v>
      </c>
      <c r="F185" s="12">
        <v>227</v>
      </c>
      <c r="G185" s="12" t="s">
        <v>20</v>
      </c>
      <c r="H185" s="12">
        <v>12</v>
      </c>
      <c r="I185" s="12">
        <v>4</v>
      </c>
      <c r="J185" s="12">
        <v>8</v>
      </c>
      <c r="K185" s="14">
        <v>45870</v>
      </c>
      <c r="L185" s="14">
        <v>45891</v>
      </c>
      <c r="M185" s="12">
        <v>21</v>
      </c>
      <c r="N185" s="12">
        <v>300</v>
      </c>
      <c r="O185" s="12" t="s">
        <v>758</v>
      </c>
      <c r="P185" s="12" t="s">
        <v>28</v>
      </c>
    </row>
    <row r="186" spans="1:16" x14ac:dyDescent="0.3">
      <c r="A186" s="12">
        <v>285</v>
      </c>
      <c r="B186" s="12" t="s">
        <v>759</v>
      </c>
      <c r="C186" s="12" t="s">
        <v>760</v>
      </c>
      <c r="D186" s="12" t="s">
        <v>727</v>
      </c>
      <c r="E186" s="12" t="s">
        <v>761</v>
      </c>
      <c r="F186" s="12">
        <v>819</v>
      </c>
      <c r="G186" s="12" t="s">
        <v>32</v>
      </c>
      <c r="H186" s="12">
        <v>11</v>
      </c>
      <c r="I186" s="12">
        <v>5</v>
      </c>
      <c r="J186" s="12">
        <v>6</v>
      </c>
      <c r="K186" s="14">
        <v>45325</v>
      </c>
      <c r="L186" s="14">
        <v>45354</v>
      </c>
      <c r="M186" s="12">
        <v>29</v>
      </c>
      <c r="N186" s="12">
        <v>320</v>
      </c>
      <c r="O186" s="12" t="s">
        <v>762</v>
      </c>
      <c r="P186" s="12" t="s">
        <v>28</v>
      </c>
    </row>
    <row r="187" spans="1:16" x14ac:dyDescent="0.3">
      <c r="A187" s="12">
        <v>286</v>
      </c>
      <c r="B187" s="12" t="s">
        <v>763</v>
      </c>
      <c r="C187" s="12" t="s">
        <v>764</v>
      </c>
      <c r="D187" s="12" t="s">
        <v>765</v>
      </c>
      <c r="E187" s="12" t="s">
        <v>766</v>
      </c>
      <c r="F187" s="12">
        <v>755</v>
      </c>
      <c r="G187" s="12" t="s">
        <v>20</v>
      </c>
      <c r="H187" s="12">
        <v>10</v>
      </c>
      <c r="I187" s="12">
        <v>6</v>
      </c>
      <c r="J187" s="12">
        <v>4</v>
      </c>
      <c r="K187" s="14">
        <v>45326</v>
      </c>
      <c r="L187" s="14">
        <v>45366</v>
      </c>
      <c r="M187" s="12">
        <v>40</v>
      </c>
      <c r="N187" s="12">
        <v>340</v>
      </c>
      <c r="O187" s="12" t="s">
        <v>767</v>
      </c>
      <c r="P187" s="12" t="s">
        <v>28</v>
      </c>
    </row>
    <row r="188" spans="1:16" x14ac:dyDescent="0.3">
      <c r="A188" s="12">
        <v>287</v>
      </c>
      <c r="B188" s="12" t="s">
        <v>768</v>
      </c>
      <c r="C188" s="12" t="s">
        <v>769</v>
      </c>
      <c r="D188" s="12" t="s">
        <v>765</v>
      </c>
      <c r="E188" s="12" t="s">
        <v>770</v>
      </c>
      <c r="F188" s="12">
        <v>539</v>
      </c>
      <c r="G188" s="12" t="s">
        <v>38</v>
      </c>
      <c r="H188" s="12">
        <v>9</v>
      </c>
      <c r="I188" s="12">
        <v>7</v>
      </c>
      <c r="J188" s="12">
        <v>2</v>
      </c>
      <c r="K188" s="14">
        <v>45327</v>
      </c>
      <c r="L188" s="14">
        <v>45379</v>
      </c>
      <c r="M188" s="12">
        <v>52</v>
      </c>
      <c r="N188" s="12">
        <v>360</v>
      </c>
      <c r="O188" s="12" t="s">
        <v>771</v>
      </c>
      <c r="P188" s="12" t="s">
        <v>34</v>
      </c>
    </row>
    <row r="189" spans="1:16" x14ac:dyDescent="0.3">
      <c r="A189" s="12">
        <v>288</v>
      </c>
      <c r="B189" s="12" t="s">
        <v>772</v>
      </c>
      <c r="C189" s="12" t="s">
        <v>773</v>
      </c>
      <c r="D189" s="12" t="s">
        <v>765</v>
      </c>
      <c r="E189" s="12" t="s">
        <v>774</v>
      </c>
      <c r="F189" s="12">
        <v>997</v>
      </c>
      <c r="G189" s="12" t="s">
        <v>20</v>
      </c>
      <c r="H189" s="12">
        <v>8</v>
      </c>
      <c r="I189" s="12">
        <v>8</v>
      </c>
      <c r="J189" s="12">
        <v>0</v>
      </c>
      <c r="K189" s="14">
        <v>45328</v>
      </c>
      <c r="L189" s="14">
        <v>45388</v>
      </c>
      <c r="M189" s="12">
        <v>60</v>
      </c>
      <c r="N189" s="12">
        <v>380</v>
      </c>
      <c r="O189" s="12" t="s">
        <v>775</v>
      </c>
      <c r="P189" s="12" t="s">
        <v>34</v>
      </c>
    </row>
    <row r="190" spans="1:16" x14ac:dyDescent="0.3">
      <c r="A190" s="12">
        <v>289</v>
      </c>
      <c r="B190" s="12" t="s">
        <v>776</v>
      </c>
      <c r="C190" s="12" t="s">
        <v>777</v>
      </c>
      <c r="D190" s="12" t="s">
        <v>765</v>
      </c>
      <c r="E190" s="12" t="s">
        <v>778</v>
      </c>
      <c r="F190" s="12">
        <v>530</v>
      </c>
      <c r="G190" s="12" t="s">
        <v>65</v>
      </c>
      <c r="H190" s="12">
        <v>11</v>
      </c>
      <c r="I190" s="12">
        <v>6</v>
      </c>
      <c r="J190" s="12">
        <v>5</v>
      </c>
      <c r="K190" s="14">
        <v>45329</v>
      </c>
      <c r="L190" s="14">
        <v>45401</v>
      </c>
      <c r="M190" s="12">
        <v>72</v>
      </c>
      <c r="N190" s="12">
        <v>400</v>
      </c>
      <c r="O190" s="12" t="s">
        <v>779</v>
      </c>
      <c r="P190" s="12" t="s">
        <v>28</v>
      </c>
    </row>
    <row r="191" spans="1:16" x14ac:dyDescent="0.3">
      <c r="A191" s="12">
        <v>290</v>
      </c>
      <c r="B191" s="12" t="s">
        <v>780</v>
      </c>
      <c r="C191" s="12" t="s">
        <v>781</v>
      </c>
      <c r="D191" s="12" t="s">
        <v>765</v>
      </c>
      <c r="E191" s="12" t="s">
        <v>782</v>
      </c>
      <c r="F191" s="12">
        <v>839</v>
      </c>
      <c r="G191" s="12" t="s">
        <v>65</v>
      </c>
      <c r="H191" s="12">
        <v>10</v>
      </c>
      <c r="I191" s="12">
        <v>7</v>
      </c>
      <c r="J191" s="12">
        <v>3</v>
      </c>
      <c r="K191" s="14">
        <v>45330</v>
      </c>
      <c r="L191" s="14">
        <v>45412</v>
      </c>
      <c r="M191" s="12">
        <v>82</v>
      </c>
      <c r="N191" s="12">
        <v>420</v>
      </c>
      <c r="O191" s="12" t="s">
        <v>783</v>
      </c>
      <c r="P191" s="12" t="s">
        <v>28</v>
      </c>
    </row>
    <row r="192" spans="1:16" x14ac:dyDescent="0.3">
      <c r="A192" s="12">
        <v>291</v>
      </c>
      <c r="B192" s="12" t="s">
        <v>784</v>
      </c>
      <c r="C192" s="12" t="s">
        <v>785</v>
      </c>
      <c r="D192" s="12" t="s">
        <v>765</v>
      </c>
      <c r="E192" s="12" t="s">
        <v>786</v>
      </c>
      <c r="F192" s="12">
        <v>705</v>
      </c>
      <c r="G192" s="12" t="s">
        <v>38</v>
      </c>
      <c r="H192" s="12">
        <v>9</v>
      </c>
      <c r="I192" s="12">
        <v>8</v>
      </c>
      <c r="J192" s="12">
        <v>1</v>
      </c>
      <c r="K192" s="14">
        <v>45331</v>
      </c>
      <c r="L192" s="14">
        <v>45416</v>
      </c>
      <c r="M192" s="12">
        <v>85</v>
      </c>
      <c r="N192" s="12">
        <v>440</v>
      </c>
      <c r="O192" s="12" t="s">
        <v>787</v>
      </c>
      <c r="P192" s="12" t="s">
        <v>28</v>
      </c>
    </row>
    <row r="193" spans="1:16" x14ac:dyDescent="0.3">
      <c r="A193" s="12">
        <v>292</v>
      </c>
      <c r="B193" s="12" t="s">
        <v>788</v>
      </c>
      <c r="C193" s="12" t="s">
        <v>789</v>
      </c>
      <c r="D193" s="12" t="s">
        <v>765</v>
      </c>
      <c r="E193" s="12" t="s">
        <v>790</v>
      </c>
      <c r="F193" s="12">
        <v>547</v>
      </c>
      <c r="G193" s="12" t="s">
        <v>32</v>
      </c>
      <c r="H193" s="12">
        <v>9</v>
      </c>
      <c r="I193" s="12">
        <v>4</v>
      </c>
      <c r="J193" s="12">
        <v>5</v>
      </c>
      <c r="K193" s="14">
        <v>45332</v>
      </c>
      <c r="L193" s="14">
        <v>45429</v>
      </c>
      <c r="M193" s="12">
        <v>97</v>
      </c>
      <c r="N193" s="12">
        <v>460</v>
      </c>
      <c r="O193" s="12" t="s">
        <v>791</v>
      </c>
      <c r="P193" s="12" t="s">
        <v>34</v>
      </c>
    </row>
    <row r="194" spans="1:16" x14ac:dyDescent="0.3">
      <c r="A194" s="12">
        <v>293</v>
      </c>
      <c r="B194" s="12" t="s">
        <v>792</v>
      </c>
      <c r="C194" s="12" t="s">
        <v>793</v>
      </c>
      <c r="D194" s="12" t="s">
        <v>765</v>
      </c>
      <c r="E194" s="12" t="s">
        <v>794</v>
      </c>
      <c r="F194" s="12">
        <v>672</v>
      </c>
      <c r="G194" s="12" t="s">
        <v>65</v>
      </c>
      <c r="H194" s="12">
        <v>10</v>
      </c>
      <c r="I194" s="12">
        <v>7</v>
      </c>
      <c r="J194" s="12">
        <v>3</v>
      </c>
      <c r="K194" s="14">
        <v>45333</v>
      </c>
      <c r="L194" s="14">
        <v>45441</v>
      </c>
      <c r="M194" s="12">
        <v>108</v>
      </c>
      <c r="N194" s="12">
        <v>480</v>
      </c>
      <c r="O194" s="12" t="s">
        <v>795</v>
      </c>
      <c r="P194" s="12" t="s">
        <v>28</v>
      </c>
    </row>
    <row r="195" spans="1:16" x14ac:dyDescent="0.3">
      <c r="A195" s="12">
        <v>294</v>
      </c>
      <c r="B195" s="12" t="s">
        <v>796</v>
      </c>
      <c r="C195" s="12" t="s">
        <v>797</v>
      </c>
      <c r="D195" s="12" t="s">
        <v>765</v>
      </c>
      <c r="E195" s="12" t="s">
        <v>798</v>
      </c>
      <c r="F195" s="12">
        <v>430</v>
      </c>
      <c r="G195" s="12" t="s">
        <v>26</v>
      </c>
      <c r="H195" s="12">
        <v>11</v>
      </c>
      <c r="I195" s="12">
        <v>6</v>
      </c>
      <c r="J195" s="12">
        <v>5</v>
      </c>
      <c r="K195" s="14">
        <v>45334</v>
      </c>
      <c r="L195" s="14">
        <v>45445</v>
      </c>
      <c r="M195" s="12">
        <v>111</v>
      </c>
      <c r="N195" s="12">
        <v>400</v>
      </c>
      <c r="O195" s="12" t="s">
        <v>799</v>
      </c>
      <c r="P195" s="12" t="s">
        <v>28</v>
      </c>
    </row>
    <row r="196" spans="1:16" x14ac:dyDescent="0.3">
      <c r="A196" s="12">
        <v>295</v>
      </c>
      <c r="B196" s="12" t="s">
        <v>800</v>
      </c>
      <c r="C196" s="12" t="s">
        <v>801</v>
      </c>
      <c r="D196" s="12" t="s">
        <v>765</v>
      </c>
      <c r="E196" s="12" t="s">
        <v>802</v>
      </c>
      <c r="F196" s="12">
        <v>389</v>
      </c>
      <c r="G196" s="12" t="s">
        <v>65</v>
      </c>
      <c r="H196" s="12">
        <v>12</v>
      </c>
      <c r="I196" s="12">
        <v>5</v>
      </c>
      <c r="J196" s="12">
        <v>7</v>
      </c>
      <c r="K196" s="14">
        <v>45335</v>
      </c>
      <c r="L196" s="14">
        <v>45457</v>
      </c>
      <c r="M196" s="12">
        <v>122</v>
      </c>
      <c r="N196" s="12">
        <v>600</v>
      </c>
      <c r="O196" s="12" t="s">
        <v>803</v>
      </c>
      <c r="P196" s="12" t="s">
        <v>28</v>
      </c>
    </row>
    <row r="197" spans="1:16" x14ac:dyDescent="0.3">
      <c r="A197" s="12">
        <v>296</v>
      </c>
      <c r="B197" s="12" t="s">
        <v>804</v>
      </c>
      <c r="C197" s="12" t="s">
        <v>805</v>
      </c>
      <c r="D197" s="12" t="s">
        <v>806</v>
      </c>
      <c r="E197" s="12" t="s">
        <v>807</v>
      </c>
      <c r="F197" s="12">
        <v>424</v>
      </c>
      <c r="G197" s="12" t="s">
        <v>65</v>
      </c>
      <c r="H197" s="12">
        <v>13</v>
      </c>
      <c r="I197" s="12">
        <v>4</v>
      </c>
      <c r="J197" s="12">
        <v>9</v>
      </c>
      <c r="K197" s="14">
        <v>45336</v>
      </c>
      <c r="L197" s="14">
        <v>45470</v>
      </c>
      <c r="M197" s="12">
        <v>134</v>
      </c>
      <c r="N197" s="12">
        <v>800</v>
      </c>
      <c r="O197" s="12" t="s">
        <v>808</v>
      </c>
      <c r="P197" s="12" t="s">
        <v>28</v>
      </c>
    </row>
    <row r="198" spans="1:16" x14ac:dyDescent="0.3">
      <c r="A198" s="12">
        <v>297</v>
      </c>
      <c r="B198" s="12" t="s">
        <v>809</v>
      </c>
      <c r="C198" s="12" t="s">
        <v>810</v>
      </c>
      <c r="D198" s="12" t="s">
        <v>806</v>
      </c>
      <c r="E198" s="12" t="s">
        <v>811</v>
      </c>
      <c r="F198" s="12">
        <v>584</v>
      </c>
      <c r="G198" s="12" t="s">
        <v>32</v>
      </c>
      <c r="H198" s="12">
        <v>14</v>
      </c>
      <c r="I198" s="12">
        <v>3</v>
      </c>
      <c r="J198" s="12">
        <v>11</v>
      </c>
      <c r="K198" s="14">
        <v>45337</v>
      </c>
      <c r="L198" s="14">
        <v>45478</v>
      </c>
      <c r="M198" s="12">
        <v>141</v>
      </c>
      <c r="N198" s="12">
        <v>100</v>
      </c>
      <c r="O198" s="12" t="s">
        <v>812</v>
      </c>
      <c r="P198" s="12" t="s">
        <v>28</v>
      </c>
    </row>
    <row r="199" spans="1:16" x14ac:dyDescent="0.3">
      <c r="A199" s="12">
        <v>298</v>
      </c>
      <c r="B199" s="12" t="s">
        <v>813</v>
      </c>
      <c r="C199" s="12" t="s">
        <v>814</v>
      </c>
      <c r="D199" s="12" t="s">
        <v>806</v>
      </c>
      <c r="E199" s="12" t="s">
        <v>815</v>
      </c>
      <c r="F199" s="12">
        <v>576</v>
      </c>
      <c r="G199" s="12" t="s">
        <v>20</v>
      </c>
      <c r="H199" s="12">
        <v>15</v>
      </c>
      <c r="I199" s="12">
        <v>2</v>
      </c>
      <c r="J199" s="12">
        <v>13</v>
      </c>
      <c r="K199" s="14">
        <v>45338</v>
      </c>
      <c r="L199" s="14">
        <v>45491</v>
      </c>
      <c r="M199" s="12">
        <v>153</v>
      </c>
      <c r="N199" s="12">
        <v>120</v>
      </c>
      <c r="O199" s="12" t="s">
        <v>816</v>
      </c>
      <c r="P199" s="12" t="s">
        <v>28</v>
      </c>
    </row>
    <row r="200" spans="1:16" x14ac:dyDescent="0.3">
      <c r="A200" s="12">
        <v>299</v>
      </c>
      <c r="B200" s="12" t="s">
        <v>817</v>
      </c>
      <c r="C200" s="12" t="s">
        <v>818</v>
      </c>
      <c r="D200" s="12" t="s">
        <v>806</v>
      </c>
      <c r="E200" s="12" t="s">
        <v>819</v>
      </c>
      <c r="F200" s="12">
        <v>482</v>
      </c>
      <c r="G200" s="12" t="s">
        <v>65</v>
      </c>
      <c r="H200" s="12">
        <v>23</v>
      </c>
      <c r="I200" s="12">
        <v>14</v>
      </c>
      <c r="J200" s="12">
        <v>9</v>
      </c>
      <c r="K200" s="14">
        <v>45339</v>
      </c>
      <c r="L200" s="14">
        <v>45504</v>
      </c>
      <c r="M200" s="12">
        <v>165</v>
      </c>
      <c r="N200" s="12">
        <v>140</v>
      </c>
      <c r="O200" s="12" t="s">
        <v>820</v>
      </c>
      <c r="P200" s="12" t="s">
        <v>28</v>
      </c>
    </row>
  </sheetData>
  <mergeCells count="5">
    <mergeCell ref="S4:W4"/>
    <mergeCell ref="S9:W9"/>
    <mergeCell ref="S23:V23"/>
    <mergeCell ref="S19:U19"/>
    <mergeCell ref="S14:X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9807A-3251-4A79-BA68-D55453087118}">
  <dimension ref="A1:V200"/>
  <sheetViews>
    <sheetView topLeftCell="I1" workbookViewId="0">
      <selection activeCell="S15" sqref="S15"/>
    </sheetView>
  </sheetViews>
  <sheetFormatPr defaultRowHeight="14.4" x14ac:dyDescent="0.3"/>
  <cols>
    <col min="2" max="2" width="27.33203125" bestFit="1" customWidth="1"/>
    <col min="3" max="3" width="19.21875" bestFit="1" customWidth="1"/>
    <col min="4" max="4" width="21.109375" bestFit="1" customWidth="1"/>
    <col min="5" max="5" width="15.109375" bestFit="1" customWidth="1"/>
    <col min="8" max="8" width="11.6640625" bestFit="1" customWidth="1"/>
    <col min="9" max="9" width="12.5546875" bestFit="1" customWidth="1"/>
    <col min="10" max="10" width="14.88671875" bestFit="1" customWidth="1"/>
    <col min="11" max="12" width="10.33203125" bestFit="1" customWidth="1"/>
    <col min="13" max="13" width="17.77734375" bestFit="1" customWidth="1"/>
    <col min="14" max="14" width="11.77734375" bestFit="1" customWidth="1"/>
    <col min="15" max="15" width="13.21875" bestFit="1" customWidth="1"/>
    <col min="16" max="16" width="14.21875" bestFit="1" customWidth="1"/>
  </cols>
  <sheetData>
    <row r="1" spans="1:22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</row>
    <row r="2" spans="1:22" x14ac:dyDescent="0.3">
      <c r="A2" s="12">
        <v>211</v>
      </c>
      <c r="B2" s="13" t="s">
        <v>466</v>
      </c>
      <c r="C2" s="12" t="s">
        <v>467</v>
      </c>
      <c r="D2" s="12" t="s">
        <v>447</v>
      </c>
      <c r="E2" s="12" t="s">
        <v>468</v>
      </c>
      <c r="F2" s="12">
        <v>328</v>
      </c>
      <c r="G2" s="12" t="s">
        <v>20</v>
      </c>
      <c r="H2" s="12">
        <v>36</v>
      </c>
      <c r="I2" s="12">
        <v>15</v>
      </c>
      <c r="J2" s="12">
        <v>21</v>
      </c>
      <c r="K2" s="14">
        <v>45432</v>
      </c>
      <c r="L2" s="14">
        <v>46445</v>
      </c>
      <c r="M2" s="12">
        <v>1013</v>
      </c>
      <c r="N2" s="12">
        <v>530</v>
      </c>
      <c r="O2" s="12" t="s">
        <v>469</v>
      </c>
      <c r="P2" s="12" t="s">
        <v>22</v>
      </c>
    </row>
    <row r="3" spans="1:22" x14ac:dyDescent="0.3">
      <c r="A3" s="12">
        <v>298</v>
      </c>
      <c r="B3" s="13" t="s">
        <v>813</v>
      </c>
      <c r="C3" s="12" t="s">
        <v>814</v>
      </c>
      <c r="D3" s="12" t="s">
        <v>806</v>
      </c>
      <c r="E3" s="12" t="s">
        <v>815</v>
      </c>
      <c r="F3" s="12">
        <v>576</v>
      </c>
      <c r="G3" s="12" t="s">
        <v>20</v>
      </c>
      <c r="H3" s="12">
        <v>15</v>
      </c>
      <c r="I3" s="12">
        <v>2</v>
      </c>
      <c r="J3" s="12">
        <v>13</v>
      </c>
      <c r="K3" s="14">
        <v>45338</v>
      </c>
      <c r="L3" s="14">
        <v>45491</v>
      </c>
      <c r="M3" s="12">
        <v>153</v>
      </c>
      <c r="N3" s="12">
        <v>120</v>
      </c>
      <c r="O3" s="12" t="s">
        <v>816</v>
      </c>
      <c r="P3" s="12" t="s">
        <v>28</v>
      </c>
    </row>
    <row r="4" spans="1:22" x14ac:dyDescent="0.3">
      <c r="A4" s="12">
        <v>192</v>
      </c>
      <c r="B4" s="13" t="s">
        <v>392</v>
      </c>
      <c r="C4" s="12" t="s">
        <v>393</v>
      </c>
      <c r="D4" s="12" t="s">
        <v>351</v>
      </c>
      <c r="E4" s="12" t="s">
        <v>394</v>
      </c>
      <c r="F4" s="12">
        <v>901</v>
      </c>
      <c r="G4" s="12" t="s">
        <v>32</v>
      </c>
      <c r="H4" s="12">
        <v>15</v>
      </c>
      <c r="I4" s="12">
        <v>6</v>
      </c>
      <c r="J4" s="12">
        <v>9</v>
      </c>
      <c r="K4" s="14">
        <v>45413</v>
      </c>
      <c r="L4" s="14">
        <v>46252</v>
      </c>
      <c r="M4" s="12">
        <v>839</v>
      </c>
      <c r="N4" s="12">
        <v>280</v>
      </c>
      <c r="O4" s="12" t="s">
        <v>395</v>
      </c>
      <c r="P4" s="12" t="s">
        <v>34</v>
      </c>
    </row>
    <row r="5" spans="1:22" x14ac:dyDescent="0.3">
      <c r="A5" s="12">
        <v>243</v>
      </c>
      <c r="B5" s="13" t="s">
        <v>594</v>
      </c>
      <c r="C5" s="12" t="s">
        <v>595</v>
      </c>
      <c r="D5" s="12" t="s">
        <v>567</v>
      </c>
      <c r="E5" s="12" t="s">
        <v>596</v>
      </c>
      <c r="F5" s="12">
        <v>661</v>
      </c>
      <c r="G5" s="12" t="s">
        <v>20</v>
      </c>
      <c r="H5" s="12">
        <v>13</v>
      </c>
      <c r="I5" s="12">
        <v>4</v>
      </c>
      <c r="J5" s="12">
        <v>9</v>
      </c>
      <c r="K5" s="14">
        <v>45464</v>
      </c>
      <c r="L5" s="14">
        <v>46768</v>
      </c>
      <c r="M5" s="12">
        <v>1304</v>
      </c>
      <c r="N5" s="12">
        <v>340</v>
      </c>
      <c r="O5" s="12" t="s">
        <v>597</v>
      </c>
      <c r="P5" s="12" t="s">
        <v>107</v>
      </c>
    </row>
    <row r="6" spans="1:22" x14ac:dyDescent="0.3">
      <c r="A6" s="12">
        <v>138</v>
      </c>
      <c r="B6" s="13" t="s">
        <v>177</v>
      </c>
      <c r="C6" s="12" t="s">
        <v>178</v>
      </c>
      <c r="D6" s="12" t="s">
        <v>138</v>
      </c>
      <c r="E6" s="12" t="s">
        <v>179</v>
      </c>
      <c r="F6" s="12">
        <v>881</v>
      </c>
      <c r="G6" s="12" t="s">
        <v>65</v>
      </c>
      <c r="H6" s="12">
        <v>12</v>
      </c>
      <c r="I6" s="12">
        <v>3</v>
      </c>
      <c r="J6" s="12">
        <v>9</v>
      </c>
      <c r="K6" s="14">
        <v>45359</v>
      </c>
      <c r="L6" s="14">
        <v>45706</v>
      </c>
      <c r="M6" s="12">
        <v>347</v>
      </c>
      <c r="N6" s="12">
        <v>420</v>
      </c>
      <c r="O6" s="12" t="s">
        <v>180</v>
      </c>
      <c r="P6" s="12" t="s">
        <v>34</v>
      </c>
      <c r="S6" s="3" t="s">
        <v>836</v>
      </c>
      <c r="T6" s="3"/>
      <c r="U6" s="3"/>
      <c r="V6" s="3"/>
    </row>
    <row r="7" spans="1:22" x14ac:dyDescent="0.3">
      <c r="A7" s="12">
        <v>274</v>
      </c>
      <c r="B7" s="13" t="s">
        <v>718</v>
      </c>
      <c r="C7" s="12" t="s">
        <v>719</v>
      </c>
      <c r="D7" s="12" t="s">
        <v>688</v>
      </c>
      <c r="E7" s="12" t="s">
        <v>720</v>
      </c>
      <c r="F7" s="12">
        <v>898</v>
      </c>
      <c r="G7" s="12" t="s">
        <v>65</v>
      </c>
      <c r="H7" s="12">
        <v>22</v>
      </c>
      <c r="I7" s="12">
        <v>13</v>
      </c>
      <c r="J7" s="12">
        <v>9</v>
      </c>
      <c r="K7" s="14">
        <v>45495</v>
      </c>
      <c r="L7" s="14">
        <v>47086</v>
      </c>
      <c r="M7" s="12">
        <v>1591</v>
      </c>
      <c r="N7" s="12">
        <v>100</v>
      </c>
      <c r="O7" s="12" t="s">
        <v>721</v>
      </c>
      <c r="P7" s="12" t="s">
        <v>28</v>
      </c>
    </row>
    <row r="8" spans="1:22" x14ac:dyDescent="0.3">
      <c r="A8" s="12">
        <v>270</v>
      </c>
      <c r="B8" s="13" t="s">
        <v>703</v>
      </c>
      <c r="C8" s="12" t="s">
        <v>704</v>
      </c>
      <c r="D8" s="12" t="s">
        <v>688</v>
      </c>
      <c r="E8" s="12" t="s">
        <v>705</v>
      </c>
      <c r="F8" s="12">
        <v>740</v>
      </c>
      <c r="G8" s="12" t="s">
        <v>32</v>
      </c>
      <c r="H8" s="12">
        <v>26</v>
      </c>
      <c r="I8" s="12">
        <v>7</v>
      </c>
      <c r="J8" s="12">
        <v>19</v>
      </c>
      <c r="K8" s="14">
        <v>45491</v>
      </c>
      <c r="L8" s="14">
        <v>47042</v>
      </c>
      <c r="M8" s="12">
        <v>1551</v>
      </c>
      <c r="N8" s="12">
        <v>460</v>
      </c>
      <c r="O8" s="12" t="s">
        <v>391</v>
      </c>
      <c r="P8" s="12" t="s">
        <v>28</v>
      </c>
    </row>
    <row r="9" spans="1:22" x14ac:dyDescent="0.3">
      <c r="A9" s="12">
        <v>109</v>
      </c>
      <c r="B9" s="13" t="s">
        <v>57</v>
      </c>
      <c r="C9" s="12" t="s">
        <v>58</v>
      </c>
      <c r="D9" s="12" t="s">
        <v>18</v>
      </c>
      <c r="E9" s="12" t="s">
        <v>59</v>
      </c>
      <c r="F9" s="12">
        <v>321</v>
      </c>
      <c r="G9" s="12" t="s">
        <v>38</v>
      </c>
      <c r="H9" s="12">
        <v>40</v>
      </c>
      <c r="I9" s="12">
        <v>38</v>
      </c>
      <c r="J9" s="12">
        <v>2</v>
      </c>
      <c r="K9" s="14">
        <v>45330</v>
      </c>
      <c r="L9" s="14">
        <v>45412</v>
      </c>
      <c r="M9" s="12">
        <v>82</v>
      </c>
      <c r="N9" s="12">
        <v>760</v>
      </c>
      <c r="O9" s="12" t="s">
        <v>60</v>
      </c>
      <c r="P9" s="12" t="s">
        <v>28</v>
      </c>
    </row>
    <row r="10" spans="1:22" x14ac:dyDescent="0.3">
      <c r="A10" s="12">
        <v>214</v>
      </c>
      <c r="B10" s="13" t="s">
        <v>478</v>
      </c>
      <c r="C10" s="12" t="s">
        <v>479</v>
      </c>
      <c r="D10" s="12" t="s">
        <v>447</v>
      </c>
      <c r="E10" s="12" t="s">
        <v>480</v>
      </c>
      <c r="F10" s="12">
        <v>262</v>
      </c>
      <c r="G10" s="12" t="s">
        <v>20</v>
      </c>
      <c r="H10" s="12">
        <v>33</v>
      </c>
      <c r="I10" s="12">
        <v>18</v>
      </c>
      <c r="J10" s="12">
        <v>15</v>
      </c>
      <c r="K10" s="14">
        <v>45435</v>
      </c>
      <c r="L10" s="14">
        <v>46474</v>
      </c>
      <c r="M10" s="12">
        <v>1039</v>
      </c>
      <c r="N10" s="12">
        <v>160</v>
      </c>
      <c r="O10" s="12" t="s">
        <v>481</v>
      </c>
      <c r="P10" s="12" t="s">
        <v>28</v>
      </c>
    </row>
    <row r="11" spans="1:22" x14ac:dyDescent="0.3">
      <c r="A11" s="12">
        <v>191</v>
      </c>
      <c r="B11" s="13" t="s">
        <v>388</v>
      </c>
      <c r="C11" s="12" t="s">
        <v>389</v>
      </c>
      <c r="D11" s="12" t="s">
        <v>351</v>
      </c>
      <c r="E11" s="12" t="s">
        <v>390</v>
      </c>
      <c r="F11" s="12">
        <v>451</v>
      </c>
      <c r="G11" s="12" t="s">
        <v>20</v>
      </c>
      <c r="H11" s="12">
        <v>14</v>
      </c>
      <c r="I11" s="12">
        <v>7</v>
      </c>
      <c r="J11" s="12">
        <v>7</v>
      </c>
      <c r="K11" s="14">
        <v>45412</v>
      </c>
      <c r="L11" s="14">
        <v>46238</v>
      </c>
      <c r="M11" s="12">
        <v>826</v>
      </c>
      <c r="N11" s="12">
        <v>260</v>
      </c>
      <c r="O11" s="12" t="s">
        <v>391</v>
      </c>
      <c r="P11" s="12" t="s">
        <v>22</v>
      </c>
    </row>
    <row r="12" spans="1:22" x14ac:dyDescent="0.3">
      <c r="A12" s="12">
        <v>218</v>
      </c>
      <c r="B12" s="13" t="s">
        <v>494</v>
      </c>
      <c r="C12" s="12" t="s">
        <v>495</v>
      </c>
      <c r="D12" s="12" t="s">
        <v>447</v>
      </c>
      <c r="E12" s="12" t="s">
        <v>496</v>
      </c>
      <c r="F12" s="12">
        <v>591</v>
      </c>
      <c r="G12" s="12" t="s">
        <v>20</v>
      </c>
      <c r="H12" s="12">
        <v>29</v>
      </c>
      <c r="I12" s="12">
        <v>23</v>
      </c>
      <c r="J12" s="12">
        <v>6</v>
      </c>
      <c r="K12" s="14">
        <v>45439</v>
      </c>
      <c r="L12" s="14">
        <v>46511</v>
      </c>
      <c r="M12" s="12">
        <v>1072</v>
      </c>
      <c r="N12" s="12">
        <v>240</v>
      </c>
      <c r="O12" s="12" t="s">
        <v>497</v>
      </c>
      <c r="P12" s="12" t="s">
        <v>28</v>
      </c>
    </row>
    <row r="13" spans="1:22" x14ac:dyDescent="0.3">
      <c r="A13" s="12">
        <v>123</v>
      </c>
      <c r="B13" s="13" t="s">
        <v>116</v>
      </c>
      <c r="C13" s="12" t="s">
        <v>117</v>
      </c>
      <c r="D13" s="12" t="s">
        <v>18</v>
      </c>
      <c r="E13" s="12" t="s">
        <v>118</v>
      </c>
      <c r="F13" s="12">
        <v>691</v>
      </c>
      <c r="G13" s="12" t="s">
        <v>26</v>
      </c>
      <c r="H13" s="12">
        <v>34</v>
      </c>
      <c r="I13" s="12">
        <v>18</v>
      </c>
      <c r="J13" s="12">
        <v>16</v>
      </c>
      <c r="K13" s="14">
        <v>45344</v>
      </c>
      <c r="L13" s="14">
        <v>45554</v>
      </c>
      <c r="M13" s="12">
        <v>210</v>
      </c>
      <c r="N13" s="12">
        <v>360</v>
      </c>
      <c r="O13" s="12" t="s">
        <v>119</v>
      </c>
      <c r="P13" s="12" t="s">
        <v>22</v>
      </c>
    </row>
    <row r="14" spans="1:22" x14ac:dyDescent="0.3">
      <c r="A14" s="12">
        <v>157</v>
      </c>
      <c r="B14" s="13" t="s">
        <v>255</v>
      </c>
      <c r="C14" s="12" t="s">
        <v>256</v>
      </c>
      <c r="D14" s="12" t="s">
        <v>232</v>
      </c>
      <c r="E14" s="12" t="s">
        <v>257</v>
      </c>
      <c r="F14" s="12">
        <v>213</v>
      </c>
      <c r="G14" s="12" t="s">
        <v>38</v>
      </c>
      <c r="H14" s="12">
        <v>41</v>
      </c>
      <c r="I14" s="12">
        <v>29</v>
      </c>
      <c r="J14" s="12">
        <v>12</v>
      </c>
      <c r="K14" s="14">
        <v>45378</v>
      </c>
      <c r="L14" s="14">
        <v>45897</v>
      </c>
      <c r="M14" s="12">
        <v>519</v>
      </c>
      <c r="N14" s="12">
        <v>280</v>
      </c>
      <c r="O14" s="12" t="s">
        <v>258</v>
      </c>
      <c r="P14" s="12" t="s">
        <v>34</v>
      </c>
    </row>
    <row r="15" spans="1:22" x14ac:dyDescent="0.3">
      <c r="A15" s="12">
        <v>161</v>
      </c>
      <c r="B15" s="13" t="s">
        <v>271</v>
      </c>
      <c r="C15" s="12" t="s">
        <v>272</v>
      </c>
      <c r="D15" s="12" t="s">
        <v>271</v>
      </c>
      <c r="E15" s="12" t="s">
        <v>273</v>
      </c>
      <c r="F15" s="12">
        <v>764</v>
      </c>
      <c r="G15" s="12" t="s">
        <v>20</v>
      </c>
      <c r="H15" s="12">
        <v>37</v>
      </c>
      <c r="I15" s="12">
        <v>22</v>
      </c>
      <c r="J15" s="12">
        <v>15</v>
      </c>
      <c r="K15" s="14">
        <v>45382</v>
      </c>
      <c r="L15" s="14">
        <v>45934</v>
      </c>
      <c r="M15" s="12">
        <v>552</v>
      </c>
      <c r="N15" s="12">
        <v>140</v>
      </c>
      <c r="O15" s="12" t="s">
        <v>274</v>
      </c>
      <c r="P15" s="12" t="s">
        <v>34</v>
      </c>
    </row>
    <row r="16" spans="1:22" x14ac:dyDescent="0.3">
      <c r="A16" s="12">
        <v>165</v>
      </c>
      <c r="B16" s="13" t="s">
        <v>287</v>
      </c>
      <c r="C16" s="12" t="s">
        <v>288</v>
      </c>
      <c r="D16" s="12" t="s">
        <v>271</v>
      </c>
      <c r="E16" s="12" t="s">
        <v>289</v>
      </c>
      <c r="F16" s="12">
        <v>654</v>
      </c>
      <c r="G16" s="12" t="s">
        <v>65</v>
      </c>
      <c r="H16" s="12">
        <v>33</v>
      </c>
      <c r="I16" s="12">
        <v>15</v>
      </c>
      <c r="J16" s="12">
        <v>18</v>
      </c>
      <c r="K16" s="14">
        <v>45386</v>
      </c>
      <c r="L16" s="14">
        <v>45976</v>
      </c>
      <c r="M16" s="12">
        <v>590</v>
      </c>
      <c r="N16" s="12">
        <v>300</v>
      </c>
      <c r="O16" s="12" t="s">
        <v>290</v>
      </c>
      <c r="P16" s="12" t="s">
        <v>22</v>
      </c>
    </row>
    <row r="17" spans="1:16" x14ac:dyDescent="0.3">
      <c r="A17" s="12">
        <v>124</v>
      </c>
      <c r="B17" s="13" t="s">
        <v>120</v>
      </c>
      <c r="C17" s="12" t="s">
        <v>121</v>
      </c>
      <c r="D17" s="12" t="s">
        <v>18</v>
      </c>
      <c r="E17" s="12" t="s">
        <v>122</v>
      </c>
      <c r="F17" s="12">
        <v>613</v>
      </c>
      <c r="G17" s="12" t="s">
        <v>32</v>
      </c>
      <c r="H17" s="12">
        <v>25</v>
      </c>
      <c r="I17" s="12">
        <v>9</v>
      </c>
      <c r="J17" s="12">
        <v>16</v>
      </c>
      <c r="K17" s="14">
        <v>45345</v>
      </c>
      <c r="L17" s="14">
        <v>45565</v>
      </c>
      <c r="M17" s="12">
        <v>220</v>
      </c>
      <c r="N17" s="12">
        <v>900</v>
      </c>
      <c r="O17" s="12" t="s">
        <v>123</v>
      </c>
      <c r="P17" s="12" t="s">
        <v>28</v>
      </c>
    </row>
    <row r="18" spans="1:16" x14ac:dyDescent="0.3">
      <c r="A18" s="12">
        <v>170</v>
      </c>
      <c r="B18" s="13" t="s">
        <v>306</v>
      </c>
      <c r="C18" s="12" t="s">
        <v>307</v>
      </c>
      <c r="D18" s="12" t="s">
        <v>271</v>
      </c>
      <c r="E18" s="12" t="s">
        <v>308</v>
      </c>
      <c r="F18" s="12">
        <v>405</v>
      </c>
      <c r="G18" s="12" t="s">
        <v>32</v>
      </c>
      <c r="H18" s="12">
        <v>28</v>
      </c>
      <c r="I18" s="12">
        <v>23</v>
      </c>
      <c r="J18" s="12">
        <v>5</v>
      </c>
      <c r="K18" s="14">
        <v>45391</v>
      </c>
      <c r="L18" s="14">
        <v>46025</v>
      </c>
      <c r="M18" s="12">
        <v>634</v>
      </c>
      <c r="N18" s="12">
        <v>220</v>
      </c>
      <c r="O18" s="12" t="s">
        <v>309</v>
      </c>
      <c r="P18" s="12" t="s">
        <v>28</v>
      </c>
    </row>
    <row r="19" spans="1:16" x14ac:dyDescent="0.3">
      <c r="A19" s="12">
        <v>229</v>
      </c>
      <c r="B19" s="13" t="s">
        <v>537</v>
      </c>
      <c r="C19" s="12" t="s">
        <v>538</v>
      </c>
      <c r="D19" s="12" t="s">
        <v>526</v>
      </c>
      <c r="E19" s="12" t="s">
        <v>539</v>
      </c>
      <c r="F19" s="12">
        <v>400</v>
      </c>
      <c r="G19" s="12" t="s">
        <v>32</v>
      </c>
      <c r="H19" s="12">
        <v>18</v>
      </c>
      <c r="I19" s="12">
        <v>17</v>
      </c>
      <c r="J19" s="12">
        <v>1</v>
      </c>
      <c r="K19" s="14">
        <v>45450</v>
      </c>
      <c r="L19" s="14">
        <v>46628</v>
      </c>
      <c r="M19" s="12">
        <v>1178</v>
      </c>
      <c r="N19" s="12">
        <v>460</v>
      </c>
      <c r="O19" s="12" t="s">
        <v>540</v>
      </c>
      <c r="P19" s="12" t="s">
        <v>34</v>
      </c>
    </row>
    <row r="20" spans="1:16" x14ac:dyDescent="0.3">
      <c r="A20" s="12">
        <v>204</v>
      </c>
      <c r="B20" s="13" t="s">
        <v>437</v>
      </c>
      <c r="C20" s="12" t="s">
        <v>438</v>
      </c>
      <c r="D20" s="12" t="s">
        <v>425</v>
      </c>
      <c r="E20" s="12" t="s">
        <v>439</v>
      </c>
      <c r="F20" s="12">
        <v>692</v>
      </c>
      <c r="G20" s="12" t="s">
        <v>65</v>
      </c>
      <c r="H20" s="12">
        <v>43</v>
      </c>
      <c r="I20" s="12">
        <v>27</v>
      </c>
      <c r="J20" s="12">
        <v>16</v>
      </c>
      <c r="K20" s="14">
        <v>45425</v>
      </c>
      <c r="L20" s="14">
        <v>46374</v>
      </c>
      <c r="M20" s="12">
        <v>949</v>
      </c>
      <c r="N20" s="12">
        <v>140</v>
      </c>
      <c r="O20" s="12" t="s">
        <v>440</v>
      </c>
      <c r="P20" s="12" t="s">
        <v>107</v>
      </c>
    </row>
    <row r="21" spans="1:16" x14ac:dyDescent="0.3">
      <c r="A21" s="12">
        <v>216</v>
      </c>
      <c r="B21" s="13" t="s">
        <v>486</v>
      </c>
      <c r="C21" s="12" t="s">
        <v>487</v>
      </c>
      <c r="D21" s="12" t="s">
        <v>447</v>
      </c>
      <c r="E21" s="12" t="s">
        <v>488</v>
      </c>
      <c r="F21" s="12">
        <v>698</v>
      </c>
      <c r="G21" s="12" t="s">
        <v>32</v>
      </c>
      <c r="H21" s="12">
        <v>31</v>
      </c>
      <c r="I21" s="12">
        <v>23</v>
      </c>
      <c r="J21" s="12">
        <v>8</v>
      </c>
      <c r="K21" s="14">
        <v>45437</v>
      </c>
      <c r="L21" s="14">
        <v>46492</v>
      </c>
      <c r="M21" s="12">
        <v>1055</v>
      </c>
      <c r="N21" s="12">
        <v>200</v>
      </c>
      <c r="O21" s="12" t="s">
        <v>489</v>
      </c>
      <c r="P21" s="12" t="s">
        <v>28</v>
      </c>
    </row>
    <row r="22" spans="1:16" x14ac:dyDescent="0.3">
      <c r="A22" s="12">
        <v>206</v>
      </c>
      <c r="B22" s="13" t="s">
        <v>445</v>
      </c>
      <c r="C22" s="12" t="s">
        <v>446</v>
      </c>
      <c r="D22" s="12" t="s">
        <v>447</v>
      </c>
      <c r="E22" s="12" t="s">
        <v>448</v>
      </c>
      <c r="F22" s="12">
        <v>356</v>
      </c>
      <c r="G22" s="12" t="s">
        <v>38</v>
      </c>
      <c r="H22" s="12">
        <v>41</v>
      </c>
      <c r="I22" s="12">
        <v>24</v>
      </c>
      <c r="J22" s="12">
        <v>17</v>
      </c>
      <c r="K22" s="14">
        <v>45427</v>
      </c>
      <c r="L22" s="14">
        <v>46391</v>
      </c>
      <c r="M22" s="12">
        <v>964</v>
      </c>
      <c r="N22" s="12">
        <v>100</v>
      </c>
      <c r="O22" s="12" t="s">
        <v>449</v>
      </c>
      <c r="P22" s="12" t="s">
        <v>28</v>
      </c>
    </row>
    <row r="23" spans="1:16" x14ac:dyDescent="0.3">
      <c r="A23" s="12">
        <v>115</v>
      </c>
      <c r="B23" s="13" t="s">
        <v>61</v>
      </c>
      <c r="C23" s="12" t="s">
        <v>84</v>
      </c>
      <c r="D23" s="12" t="s">
        <v>18</v>
      </c>
      <c r="E23" s="12" t="s">
        <v>85</v>
      </c>
      <c r="F23" s="12">
        <v>572</v>
      </c>
      <c r="G23" s="12" t="s">
        <v>32</v>
      </c>
      <c r="H23" s="12">
        <v>46</v>
      </c>
      <c r="I23" s="12">
        <v>35</v>
      </c>
      <c r="J23" s="12">
        <v>11</v>
      </c>
      <c r="K23" s="14">
        <v>45336</v>
      </c>
      <c r="L23" s="14">
        <v>45470</v>
      </c>
      <c r="M23" s="12">
        <v>134</v>
      </c>
      <c r="N23" s="12">
        <v>700</v>
      </c>
      <c r="O23" s="12" t="s">
        <v>86</v>
      </c>
      <c r="P23" s="12" t="s">
        <v>34</v>
      </c>
    </row>
    <row r="24" spans="1:16" x14ac:dyDescent="0.3">
      <c r="A24" s="12">
        <v>116</v>
      </c>
      <c r="B24" s="13" t="s">
        <v>87</v>
      </c>
      <c r="C24" s="12" t="s">
        <v>88</v>
      </c>
      <c r="D24" s="12" t="s">
        <v>18</v>
      </c>
      <c r="E24" s="12" t="s">
        <v>89</v>
      </c>
      <c r="F24" s="12">
        <v>299</v>
      </c>
      <c r="G24" s="12" t="s">
        <v>32</v>
      </c>
      <c r="H24" s="12">
        <v>35</v>
      </c>
      <c r="I24" s="12">
        <v>29</v>
      </c>
      <c r="J24" s="12">
        <v>6</v>
      </c>
      <c r="K24" s="14">
        <v>45337</v>
      </c>
      <c r="L24" s="14">
        <v>45478</v>
      </c>
      <c r="M24" s="12">
        <v>141</v>
      </c>
      <c r="N24" s="12">
        <v>580</v>
      </c>
      <c r="O24" s="12" t="s">
        <v>90</v>
      </c>
      <c r="P24" s="12" t="s">
        <v>28</v>
      </c>
    </row>
    <row r="25" spans="1:16" x14ac:dyDescent="0.3">
      <c r="A25" s="12">
        <v>136</v>
      </c>
      <c r="B25" s="13" t="s">
        <v>169</v>
      </c>
      <c r="C25" s="12" t="s">
        <v>170</v>
      </c>
      <c r="D25" s="12" t="s">
        <v>138</v>
      </c>
      <c r="E25" s="12" t="s">
        <v>171</v>
      </c>
      <c r="F25" s="12">
        <v>258</v>
      </c>
      <c r="G25" s="12" t="s">
        <v>26</v>
      </c>
      <c r="H25" s="12">
        <v>14</v>
      </c>
      <c r="I25" s="12">
        <v>5</v>
      </c>
      <c r="J25" s="12">
        <v>9</v>
      </c>
      <c r="K25" s="14">
        <v>45357</v>
      </c>
      <c r="L25" s="14">
        <v>45686</v>
      </c>
      <c r="M25" s="12">
        <v>329</v>
      </c>
      <c r="N25" s="12">
        <v>360</v>
      </c>
      <c r="O25" s="12" t="s">
        <v>172</v>
      </c>
      <c r="P25" s="12" t="s">
        <v>28</v>
      </c>
    </row>
    <row r="26" spans="1:16" x14ac:dyDescent="0.3">
      <c r="A26" s="12">
        <v>290</v>
      </c>
      <c r="B26" s="13" t="s">
        <v>780</v>
      </c>
      <c r="C26" s="12" t="s">
        <v>781</v>
      </c>
      <c r="D26" s="12" t="s">
        <v>765</v>
      </c>
      <c r="E26" s="12" t="s">
        <v>782</v>
      </c>
      <c r="F26" s="12">
        <v>839</v>
      </c>
      <c r="G26" s="12" t="s">
        <v>65</v>
      </c>
      <c r="H26" s="12">
        <v>10</v>
      </c>
      <c r="I26" s="12">
        <v>7</v>
      </c>
      <c r="J26" s="12">
        <v>3</v>
      </c>
      <c r="K26" s="14">
        <v>45330</v>
      </c>
      <c r="L26" s="14">
        <v>45412</v>
      </c>
      <c r="M26" s="12">
        <v>82</v>
      </c>
      <c r="N26" s="12">
        <v>420</v>
      </c>
      <c r="O26" s="12" t="s">
        <v>783</v>
      </c>
      <c r="P26" s="12" t="s">
        <v>28</v>
      </c>
    </row>
    <row r="27" spans="1:16" x14ac:dyDescent="0.3">
      <c r="A27" s="12">
        <v>162</v>
      </c>
      <c r="B27" s="13" t="s">
        <v>275</v>
      </c>
      <c r="C27" s="12" t="s">
        <v>276</v>
      </c>
      <c r="D27" s="12" t="s">
        <v>271</v>
      </c>
      <c r="E27" s="12" t="s">
        <v>277</v>
      </c>
      <c r="F27" s="12">
        <v>539</v>
      </c>
      <c r="G27" s="12" t="s">
        <v>20</v>
      </c>
      <c r="H27" s="12">
        <v>36</v>
      </c>
      <c r="I27" s="12">
        <v>20</v>
      </c>
      <c r="J27" s="12">
        <v>16</v>
      </c>
      <c r="K27" s="14">
        <v>45383</v>
      </c>
      <c r="L27" s="14">
        <v>45947</v>
      </c>
      <c r="M27" s="12">
        <v>564</v>
      </c>
      <c r="N27" s="12">
        <v>800</v>
      </c>
      <c r="O27" s="12" t="s">
        <v>278</v>
      </c>
      <c r="P27" s="12" t="s">
        <v>28</v>
      </c>
    </row>
    <row r="28" spans="1:16" x14ac:dyDescent="0.3">
      <c r="A28" s="12">
        <v>151</v>
      </c>
      <c r="B28" s="13" t="s">
        <v>230</v>
      </c>
      <c r="C28" s="12" t="s">
        <v>231</v>
      </c>
      <c r="D28" s="12" t="s">
        <v>232</v>
      </c>
      <c r="E28" s="12" t="s">
        <v>233</v>
      </c>
      <c r="F28" s="12">
        <v>220</v>
      </c>
      <c r="G28" s="12" t="s">
        <v>26</v>
      </c>
      <c r="H28" s="12">
        <v>47</v>
      </c>
      <c r="I28" s="12">
        <v>39</v>
      </c>
      <c r="J28" s="12">
        <v>8</v>
      </c>
      <c r="K28" s="14">
        <v>45372</v>
      </c>
      <c r="L28" s="14">
        <v>45835</v>
      </c>
      <c r="M28" s="12">
        <v>463</v>
      </c>
      <c r="N28" s="12">
        <v>380</v>
      </c>
      <c r="O28" s="12" t="s">
        <v>234</v>
      </c>
      <c r="P28" s="12" t="s">
        <v>34</v>
      </c>
    </row>
    <row r="29" spans="1:16" x14ac:dyDescent="0.3">
      <c r="A29" s="12">
        <v>152</v>
      </c>
      <c r="B29" s="13" t="s">
        <v>235</v>
      </c>
      <c r="C29" s="12" t="s">
        <v>236</v>
      </c>
      <c r="D29" s="12" t="s">
        <v>232</v>
      </c>
      <c r="E29" s="12" t="s">
        <v>237</v>
      </c>
      <c r="F29" s="12">
        <v>366</v>
      </c>
      <c r="G29" s="12" t="s">
        <v>38</v>
      </c>
      <c r="H29" s="12">
        <v>46</v>
      </c>
      <c r="I29" s="12">
        <v>41</v>
      </c>
      <c r="J29" s="12">
        <v>5</v>
      </c>
      <c r="K29" s="14">
        <v>45373</v>
      </c>
      <c r="L29" s="14">
        <v>45842</v>
      </c>
      <c r="M29" s="12">
        <v>469</v>
      </c>
      <c r="N29" s="12">
        <v>260</v>
      </c>
      <c r="O29" s="12" t="s">
        <v>238</v>
      </c>
      <c r="P29" s="12" t="s">
        <v>34</v>
      </c>
    </row>
    <row r="30" spans="1:16" x14ac:dyDescent="0.3">
      <c r="A30" s="12">
        <v>193</v>
      </c>
      <c r="B30" s="13" t="s">
        <v>396</v>
      </c>
      <c r="C30" s="12" t="s">
        <v>397</v>
      </c>
      <c r="D30" s="12" t="s">
        <v>351</v>
      </c>
      <c r="E30" s="12" t="s">
        <v>398</v>
      </c>
      <c r="F30" s="12">
        <v>495</v>
      </c>
      <c r="G30" s="12" t="s">
        <v>20</v>
      </c>
      <c r="H30" s="12">
        <v>16</v>
      </c>
      <c r="I30" s="12">
        <v>5</v>
      </c>
      <c r="J30" s="12">
        <v>11</v>
      </c>
      <c r="K30" s="14">
        <v>45414</v>
      </c>
      <c r="L30" s="14">
        <v>46263</v>
      </c>
      <c r="M30" s="12">
        <v>849</v>
      </c>
      <c r="N30" s="12">
        <v>320</v>
      </c>
      <c r="O30" s="12" t="s">
        <v>399</v>
      </c>
      <c r="P30" s="12" t="s">
        <v>22</v>
      </c>
    </row>
    <row r="31" spans="1:16" x14ac:dyDescent="0.3">
      <c r="A31" s="12">
        <v>264</v>
      </c>
      <c r="B31" s="13" t="s">
        <v>678</v>
      </c>
      <c r="C31" s="12" t="s">
        <v>679</v>
      </c>
      <c r="D31" s="12" t="s">
        <v>668</v>
      </c>
      <c r="E31" s="12" t="s">
        <v>680</v>
      </c>
      <c r="F31" s="12">
        <v>684</v>
      </c>
      <c r="G31" s="12" t="s">
        <v>38</v>
      </c>
      <c r="H31" s="12">
        <v>32</v>
      </c>
      <c r="I31" s="12">
        <v>22</v>
      </c>
      <c r="J31" s="12">
        <v>10</v>
      </c>
      <c r="K31" s="14">
        <v>45485</v>
      </c>
      <c r="L31" s="14">
        <v>46983</v>
      </c>
      <c r="M31" s="12">
        <v>1498</v>
      </c>
      <c r="N31" s="12">
        <v>340</v>
      </c>
      <c r="O31" s="12" t="s">
        <v>681</v>
      </c>
      <c r="P31" s="12" t="s">
        <v>28</v>
      </c>
    </row>
    <row r="32" spans="1:16" x14ac:dyDescent="0.3">
      <c r="A32" s="12">
        <v>142</v>
      </c>
      <c r="B32" s="13" t="s">
        <v>194</v>
      </c>
      <c r="C32" s="12" t="s">
        <v>195</v>
      </c>
      <c r="D32" s="12" t="s">
        <v>183</v>
      </c>
      <c r="E32" s="12" t="s">
        <v>196</v>
      </c>
      <c r="F32" s="12">
        <v>389</v>
      </c>
      <c r="G32" s="12" t="s">
        <v>32</v>
      </c>
      <c r="H32" s="12">
        <v>8</v>
      </c>
      <c r="I32" s="12">
        <v>2</v>
      </c>
      <c r="J32" s="12">
        <v>6</v>
      </c>
      <c r="K32" s="14">
        <v>45363</v>
      </c>
      <c r="L32" s="14">
        <v>45744</v>
      </c>
      <c r="M32" s="12">
        <v>381</v>
      </c>
      <c r="N32" s="12">
        <v>300</v>
      </c>
      <c r="O32" s="12" t="s">
        <v>197</v>
      </c>
      <c r="P32" s="12" t="s">
        <v>34</v>
      </c>
    </row>
    <row r="33" spans="1:16" x14ac:dyDescent="0.3">
      <c r="A33" s="12">
        <v>176</v>
      </c>
      <c r="B33" s="13" t="s">
        <v>329</v>
      </c>
      <c r="C33" s="12" t="s">
        <v>330</v>
      </c>
      <c r="D33" s="12" t="s">
        <v>310</v>
      </c>
      <c r="E33" s="12" t="s">
        <v>331</v>
      </c>
      <c r="F33" s="12">
        <v>765</v>
      </c>
      <c r="G33" s="12" t="s">
        <v>32</v>
      </c>
      <c r="H33" s="12">
        <v>22</v>
      </c>
      <c r="I33" s="12">
        <v>13</v>
      </c>
      <c r="J33" s="12">
        <v>9</v>
      </c>
      <c r="K33" s="14">
        <v>45397</v>
      </c>
      <c r="L33" s="14">
        <v>46085</v>
      </c>
      <c r="M33" s="12">
        <v>688</v>
      </c>
      <c r="N33" s="12">
        <v>440</v>
      </c>
      <c r="O33" s="12" t="s">
        <v>332</v>
      </c>
      <c r="P33" s="12" t="s">
        <v>28</v>
      </c>
    </row>
    <row r="34" spans="1:16" x14ac:dyDescent="0.3">
      <c r="A34" s="12">
        <v>119</v>
      </c>
      <c r="B34" s="13" t="s">
        <v>99</v>
      </c>
      <c r="C34" s="12" t="s">
        <v>100</v>
      </c>
      <c r="D34" s="12" t="s">
        <v>18</v>
      </c>
      <c r="E34" s="12" t="s">
        <v>101</v>
      </c>
      <c r="F34" s="12">
        <v>861</v>
      </c>
      <c r="G34" s="12" t="s">
        <v>20</v>
      </c>
      <c r="H34" s="12">
        <v>41</v>
      </c>
      <c r="I34" s="12">
        <v>19</v>
      </c>
      <c r="J34" s="12">
        <v>22</v>
      </c>
      <c r="K34" s="14">
        <v>45340</v>
      </c>
      <c r="L34" s="14">
        <v>45507</v>
      </c>
      <c r="M34" s="12">
        <v>167</v>
      </c>
      <c r="N34" s="12">
        <v>380</v>
      </c>
      <c r="O34" s="12" t="s">
        <v>102</v>
      </c>
      <c r="P34" s="12" t="s">
        <v>28</v>
      </c>
    </row>
    <row r="35" spans="1:16" x14ac:dyDescent="0.3">
      <c r="A35" s="12">
        <v>234</v>
      </c>
      <c r="B35" s="13" t="s">
        <v>557</v>
      </c>
      <c r="C35" s="12" t="s">
        <v>558</v>
      </c>
      <c r="D35" s="12" t="s">
        <v>526</v>
      </c>
      <c r="E35" s="12" t="s">
        <v>559</v>
      </c>
      <c r="F35" s="12">
        <v>606</v>
      </c>
      <c r="G35" s="12" t="s">
        <v>20</v>
      </c>
      <c r="H35" s="12">
        <v>13</v>
      </c>
      <c r="I35" s="12">
        <v>4</v>
      </c>
      <c r="J35" s="12">
        <v>9</v>
      </c>
      <c r="K35" s="14">
        <v>45455</v>
      </c>
      <c r="L35" s="14">
        <v>46676</v>
      </c>
      <c r="M35" s="12">
        <v>1221</v>
      </c>
      <c r="N35" s="12">
        <v>160</v>
      </c>
      <c r="O35" s="12" t="s">
        <v>560</v>
      </c>
      <c r="P35" s="12" t="s">
        <v>34</v>
      </c>
    </row>
    <row r="36" spans="1:16" x14ac:dyDescent="0.3">
      <c r="A36" s="12">
        <v>147</v>
      </c>
      <c r="B36" s="13" t="s">
        <v>214</v>
      </c>
      <c r="C36" s="12" t="s">
        <v>215</v>
      </c>
      <c r="D36" s="12" t="s">
        <v>183</v>
      </c>
      <c r="E36" s="12" t="s">
        <v>216</v>
      </c>
      <c r="F36" s="12">
        <v>704</v>
      </c>
      <c r="G36" s="12" t="s">
        <v>32</v>
      </c>
      <c r="H36" s="12">
        <v>3</v>
      </c>
      <c r="I36" s="12">
        <v>1</v>
      </c>
      <c r="J36" s="12">
        <v>2</v>
      </c>
      <c r="K36" s="14">
        <v>45368</v>
      </c>
      <c r="L36" s="14">
        <v>45795</v>
      </c>
      <c r="M36" s="12">
        <v>427</v>
      </c>
      <c r="N36" s="12">
        <v>400</v>
      </c>
      <c r="O36" s="12" t="s">
        <v>217</v>
      </c>
      <c r="P36" s="12" t="s">
        <v>34</v>
      </c>
    </row>
    <row r="37" spans="1:16" x14ac:dyDescent="0.3">
      <c r="A37" s="12">
        <v>217</v>
      </c>
      <c r="B37" s="13" t="s">
        <v>490</v>
      </c>
      <c r="C37" s="12" t="s">
        <v>491</v>
      </c>
      <c r="D37" s="12" t="s">
        <v>447</v>
      </c>
      <c r="E37" s="12" t="s">
        <v>492</v>
      </c>
      <c r="F37" s="12">
        <v>792</v>
      </c>
      <c r="G37" s="12" t="s">
        <v>32</v>
      </c>
      <c r="H37" s="12">
        <v>30</v>
      </c>
      <c r="I37" s="12">
        <v>24</v>
      </c>
      <c r="J37" s="12">
        <v>6</v>
      </c>
      <c r="K37" s="14">
        <v>45438</v>
      </c>
      <c r="L37" s="14">
        <v>46506</v>
      </c>
      <c r="M37" s="12">
        <v>1068</v>
      </c>
      <c r="N37" s="12">
        <v>220</v>
      </c>
      <c r="O37" s="12" t="s">
        <v>493</v>
      </c>
      <c r="P37" s="12" t="s">
        <v>28</v>
      </c>
    </row>
    <row r="38" spans="1:16" x14ac:dyDescent="0.3">
      <c r="A38" s="12">
        <v>273</v>
      </c>
      <c r="B38" s="13" t="s">
        <v>714</v>
      </c>
      <c r="C38" s="12" t="s">
        <v>715</v>
      </c>
      <c r="D38" s="12" t="s">
        <v>688</v>
      </c>
      <c r="E38" s="12" t="s">
        <v>716</v>
      </c>
      <c r="F38" s="12">
        <v>359</v>
      </c>
      <c r="G38" s="12" t="s">
        <v>65</v>
      </c>
      <c r="H38" s="12">
        <v>23</v>
      </c>
      <c r="I38" s="12">
        <v>8</v>
      </c>
      <c r="J38" s="12">
        <v>15</v>
      </c>
      <c r="K38" s="14">
        <v>45494</v>
      </c>
      <c r="L38" s="14">
        <v>47074</v>
      </c>
      <c r="M38" s="12">
        <v>1580</v>
      </c>
      <c r="N38" s="12">
        <v>800</v>
      </c>
      <c r="O38" s="12" t="s">
        <v>717</v>
      </c>
      <c r="P38" s="12" t="s">
        <v>28</v>
      </c>
    </row>
    <row r="39" spans="1:16" x14ac:dyDescent="0.3">
      <c r="A39" s="12">
        <v>108</v>
      </c>
      <c r="B39" s="13" t="s">
        <v>53</v>
      </c>
      <c r="C39" s="12" t="s">
        <v>54</v>
      </c>
      <c r="D39" s="12" t="s">
        <v>18</v>
      </c>
      <c r="E39" s="12" t="s">
        <v>55</v>
      </c>
      <c r="F39" s="12">
        <v>814</v>
      </c>
      <c r="G39" s="12" t="s">
        <v>32</v>
      </c>
      <c r="H39" s="12">
        <v>48</v>
      </c>
      <c r="I39" s="12">
        <v>31</v>
      </c>
      <c r="J39" s="12">
        <v>17</v>
      </c>
      <c r="K39" s="14">
        <v>45329</v>
      </c>
      <c r="L39" s="14">
        <v>45401</v>
      </c>
      <c r="M39" s="12">
        <v>72</v>
      </c>
      <c r="N39" s="12">
        <v>620</v>
      </c>
      <c r="O39" s="12" t="s">
        <v>56</v>
      </c>
      <c r="P39" s="12" t="s">
        <v>28</v>
      </c>
    </row>
    <row r="40" spans="1:16" x14ac:dyDescent="0.3">
      <c r="A40" s="12">
        <v>106</v>
      </c>
      <c r="B40" s="13" t="s">
        <v>45</v>
      </c>
      <c r="C40" s="12" t="s">
        <v>46</v>
      </c>
      <c r="D40" s="12" t="s">
        <v>18</v>
      </c>
      <c r="E40" s="12" t="s">
        <v>47</v>
      </c>
      <c r="F40" s="12">
        <v>900</v>
      </c>
      <c r="G40" s="12" t="s">
        <v>32</v>
      </c>
      <c r="H40" s="12">
        <v>28</v>
      </c>
      <c r="I40" s="12">
        <v>9</v>
      </c>
      <c r="J40" s="12">
        <v>19</v>
      </c>
      <c r="K40" s="14">
        <v>45327</v>
      </c>
      <c r="L40" s="14">
        <v>45379</v>
      </c>
      <c r="M40" s="12">
        <v>52</v>
      </c>
      <c r="N40" s="12">
        <v>900</v>
      </c>
      <c r="O40" s="12" t="s">
        <v>48</v>
      </c>
      <c r="P40" s="12" t="s">
        <v>28</v>
      </c>
    </row>
    <row r="41" spans="1:16" x14ac:dyDescent="0.3">
      <c r="A41" s="12">
        <v>279</v>
      </c>
      <c r="B41" s="13" t="s">
        <v>736</v>
      </c>
      <c r="C41" s="12" t="s">
        <v>737</v>
      </c>
      <c r="D41" s="12" t="s">
        <v>727</v>
      </c>
      <c r="E41" s="12" t="s">
        <v>738</v>
      </c>
      <c r="F41" s="12">
        <v>881</v>
      </c>
      <c r="G41" s="12" t="s">
        <v>20</v>
      </c>
      <c r="H41" s="12">
        <v>17</v>
      </c>
      <c r="I41" s="12">
        <v>9</v>
      </c>
      <c r="J41" s="12">
        <v>8</v>
      </c>
      <c r="K41" s="14">
        <v>45875</v>
      </c>
      <c r="L41" s="14">
        <v>45893</v>
      </c>
      <c r="M41" s="12">
        <v>18</v>
      </c>
      <c r="N41" s="12">
        <v>200</v>
      </c>
      <c r="O41" s="12" t="s">
        <v>185</v>
      </c>
      <c r="P41" s="12" t="s">
        <v>22</v>
      </c>
    </row>
    <row r="42" spans="1:16" x14ac:dyDescent="0.3">
      <c r="A42" s="12">
        <v>104</v>
      </c>
      <c r="B42" s="13" t="s">
        <v>35</v>
      </c>
      <c r="C42" s="12" t="s">
        <v>36</v>
      </c>
      <c r="D42" s="12" t="s">
        <v>18</v>
      </c>
      <c r="E42" s="12" t="s">
        <v>37</v>
      </c>
      <c r="F42" s="12">
        <v>306</v>
      </c>
      <c r="G42" s="12" t="s">
        <v>38</v>
      </c>
      <c r="H42" s="12">
        <v>31</v>
      </c>
      <c r="I42" s="12">
        <v>12</v>
      </c>
      <c r="J42" s="12">
        <v>19</v>
      </c>
      <c r="K42" s="14">
        <v>45325</v>
      </c>
      <c r="L42" s="14">
        <v>45354</v>
      </c>
      <c r="M42" s="12">
        <v>29</v>
      </c>
      <c r="N42" s="12">
        <v>240</v>
      </c>
      <c r="O42" s="12" t="s">
        <v>39</v>
      </c>
      <c r="P42" s="12" t="s">
        <v>34</v>
      </c>
    </row>
    <row r="43" spans="1:16" x14ac:dyDescent="0.3">
      <c r="A43" s="12">
        <v>263</v>
      </c>
      <c r="B43" s="13" t="s">
        <v>674</v>
      </c>
      <c r="C43" s="12" t="s">
        <v>675</v>
      </c>
      <c r="D43" s="12" t="s">
        <v>668</v>
      </c>
      <c r="E43" s="12" t="s">
        <v>676</v>
      </c>
      <c r="F43" s="12">
        <v>933</v>
      </c>
      <c r="G43" s="12" t="s">
        <v>65</v>
      </c>
      <c r="H43" s="12">
        <v>33</v>
      </c>
      <c r="I43" s="12">
        <v>18</v>
      </c>
      <c r="J43" s="12">
        <v>15</v>
      </c>
      <c r="K43" s="14">
        <v>45484</v>
      </c>
      <c r="L43" s="14">
        <v>46969</v>
      </c>
      <c r="M43" s="12">
        <v>1485</v>
      </c>
      <c r="N43" s="12">
        <v>320</v>
      </c>
      <c r="O43" s="12" t="s">
        <v>677</v>
      </c>
      <c r="P43" s="12" t="s">
        <v>22</v>
      </c>
    </row>
    <row r="44" spans="1:16" x14ac:dyDescent="0.3">
      <c r="A44" s="12">
        <v>198</v>
      </c>
      <c r="B44" s="13" t="s">
        <v>414</v>
      </c>
      <c r="C44" s="12" t="s">
        <v>415</v>
      </c>
      <c r="D44" s="12" t="s">
        <v>351</v>
      </c>
      <c r="E44" s="12" t="s">
        <v>416</v>
      </c>
      <c r="F44" s="12">
        <v>252</v>
      </c>
      <c r="G44" s="12" t="s">
        <v>38</v>
      </c>
      <c r="H44" s="12">
        <v>49</v>
      </c>
      <c r="I44" s="12">
        <v>35</v>
      </c>
      <c r="J44" s="12">
        <v>14</v>
      </c>
      <c r="K44" s="14">
        <v>45419</v>
      </c>
      <c r="L44" s="14">
        <v>46311</v>
      </c>
      <c r="M44" s="12">
        <v>892</v>
      </c>
      <c r="N44" s="12">
        <v>440</v>
      </c>
      <c r="O44" s="12" t="s">
        <v>417</v>
      </c>
      <c r="P44" s="12" t="s">
        <v>28</v>
      </c>
    </row>
    <row r="45" spans="1:16" x14ac:dyDescent="0.3">
      <c r="A45" s="12">
        <v>145</v>
      </c>
      <c r="B45" s="13" t="s">
        <v>206</v>
      </c>
      <c r="C45" s="12" t="s">
        <v>207</v>
      </c>
      <c r="D45" s="12" t="s">
        <v>183</v>
      </c>
      <c r="E45" s="12" t="s">
        <v>208</v>
      </c>
      <c r="F45" s="12">
        <v>766</v>
      </c>
      <c r="G45" s="12" t="s">
        <v>65</v>
      </c>
      <c r="H45" s="12">
        <v>5</v>
      </c>
      <c r="I45" s="12">
        <v>1</v>
      </c>
      <c r="J45" s="12">
        <v>4</v>
      </c>
      <c r="K45" s="14">
        <v>45366</v>
      </c>
      <c r="L45" s="14">
        <v>45776</v>
      </c>
      <c r="M45" s="12">
        <v>410</v>
      </c>
      <c r="N45" s="12">
        <v>360</v>
      </c>
      <c r="O45" s="12" t="s">
        <v>209</v>
      </c>
      <c r="P45" s="12" t="s">
        <v>28</v>
      </c>
    </row>
    <row r="46" spans="1:16" x14ac:dyDescent="0.3">
      <c r="A46" s="12">
        <v>213</v>
      </c>
      <c r="B46" s="13" t="s">
        <v>474</v>
      </c>
      <c r="C46" s="12" t="s">
        <v>475</v>
      </c>
      <c r="D46" s="12" t="s">
        <v>447</v>
      </c>
      <c r="E46" s="12" t="s">
        <v>476</v>
      </c>
      <c r="F46" s="12">
        <v>671</v>
      </c>
      <c r="G46" s="12" t="s">
        <v>26</v>
      </c>
      <c r="H46" s="12">
        <v>34</v>
      </c>
      <c r="I46" s="12">
        <v>17</v>
      </c>
      <c r="J46" s="12">
        <v>17</v>
      </c>
      <c r="K46" s="14">
        <v>45434</v>
      </c>
      <c r="L46" s="14">
        <v>46462</v>
      </c>
      <c r="M46" s="12">
        <v>1028</v>
      </c>
      <c r="N46" s="12">
        <v>140</v>
      </c>
      <c r="O46" s="12" t="s">
        <v>477</v>
      </c>
      <c r="P46" s="12" t="s">
        <v>107</v>
      </c>
    </row>
    <row r="47" spans="1:16" x14ac:dyDescent="0.3">
      <c r="A47" s="12">
        <v>212</v>
      </c>
      <c r="B47" s="13" t="s">
        <v>470</v>
      </c>
      <c r="C47" s="12" t="s">
        <v>471</v>
      </c>
      <c r="D47" s="12" t="s">
        <v>447</v>
      </c>
      <c r="E47" s="12" t="s">
        <v>472</v>
      </c>
      <c r="F47" s="12">
        <v>847</v>
      </c>
      <c r="G47" s="12" t="s">
        <v>32</v>
      </c>
      <c r="H47" s="12">
        <v>35</v>
      </c>
      <c r="I47" s="12">
        <v>18</v>
      </c>
      <c r="J47" s="12">
        <v>17</v>
      </c>
      <c r="K47" s="14">
        <v>45433</v>
      </c>
      <c r="L47" s="14">
        <v>46450</v>
      </c>
      <c r="M47" s="12">
        <v>1017</v>
      </c>
      <c r="N47" s="12">
        <v>120</v>
      </c>
      <c r="O47" s="12" t="s">
        <v>473</v>
      </c>
      <c r="P47" s="12" t="s">
        <v>34</v>
      </c>
    </row>
    <row r="48" spans="1:16" x14ac:dyDescent="0.3">
      <c r="A48" s="12">
        <v>236</v>
      </c>
      <c r="B48" s="13" t="s">
        <v>565</v>
      </c>
      <c r="C48" s="12" t="s">
        <v>566</v>
      </c>
      <c r="D48" s="12" t="s">
        <v>567</v>
      </c>
      <c r="E48" s="12" t="s">
        <v>568</v>
      </c>
      <c r="F48" s="12">
        <v>927</v>
      </c>
      <c r="G48" s="12" t="s">
        <v>32</v>
      </c>
      <c r="H48" s="12">
        <v>11</v>
      </c>
      <c r="I48" s="12">
        <v>6</v>
      </c>
      <c r="J48" s="12">
        <v>5</v>
      </c>
      <c r="K48" s="14">
        <v>45457</v>
      </c>
      <c r="L48" s="14">
        <v>46695</v>
      </c>
      <c r="M48" s="12">
        <v>1238</v>
      </c>
      <c r="N48" s="12">
        <v>200</v>
      </c>
      <c r="O48" s="12" t="s">
        <v>569</v>
      </c>
      <c r="P48" s="12" t="s">
        <v>28</v>
      </c>
    </row>
    <row r="49" spans="1:16" x14ac:dyDescent="0.3">
      <c r="A49" s="12">
        <v>262</v>
      </c>
      <c r="B49" s="13" t="s">
        <v>671</v>
      </c>
      <c r="C49" s="12" t="s">
        <v>672</v>
      </c>
      <c r="D49" s="12" t="s">
        <v>668</v>
      </c>
      <c r="E49" s="12" t="s">
        <v>673</v>
      </c>
      <c r="F49" s="12">
        <v>295</v>
      </c>
      <c r="G49" s="12" t="s">
        <v>65</v>
      </c>
      <c r="H49" s="12">
        <v>34</v>
      </c>
      <c r="I49" s="12">
        <v>19</v>
      </c>
      <c r="J49" s="12">
        <v>15</v>
      </c>
      <c r="K49" s="14">
        <v>45483</v>
      </c>
      <c r="L49" s="14">
        <v>46964</v>
      </c>
      <c r="M49" s="12">
        <v>1481</v>
      </c>
      <c r="N49" s="12">
        <v>300</v>
      </c>
      <c r="O49" s="12" t="s">
        <v>344</v>
      </c>
      <c r="P49" s="12" t="s">
        <v>28</v>
      </c>
    </row>
    <row r="50" spans="1:16" x14ac:dyDescent="0.3">
      <c r="A50" s="12">
        <v>286</v>
      </c>
      <c r="B50" s="13" t="s">
        <v>763</v>
      </c>
      <c r="C50" s="12" t="s">
        <v>764</v>
      </c>
      <c r="D50" s="12" t="s">
        <v>765</v>
      </c>
      <c r="E50" s="12" t="s">
        <v>766</v>
      </c>
      <c r="F50" s="12">
        <v>755</v>
      </c>
      <c r="G50" s="12" t="s">
        <v>20</v>
      </c>
      <c r="H50" s="12">
        <v>10</v>
      </c>
      <c r="I50" s="12">
        <v>6</v>
      </c>
      <c r="J50" s="12">
        <v>4</v>
      </c>
      <c r="K50" s="14">
        <v>45326</v>
      </c>
      <c r="L50" s="14">
        <v>45366</v>
      </c>
      <c r="M50" s="12">
        <v>40</v>
      </c>
      <c r="N50" s="12">
        <v>340</v>
      </c>
      <c r="O50" s="12" t="s">
        <v>767</v>
      </c>
      <c r="P50" s="12" t="s">
        <v>28</v>
      </c>
    </row>
    <row r="51" spans="1:16" x14ac:dyDescent="0.3">
      <c r="A51" s="12">
        <v>272</v>
      </c>
      <c r="B51" s="13" t="s">
        <v>710</v>
      </c>
      <c r="C51" s="12" t="s">
        <v>711</v>
      </c>
      <c r="D51" s="12" t="s">
        <v>688</v>
      </c>
      <c r="E51" s="12" t="s">
        <v>712</v>
      </c>
      <c r="F51" s="12">
        <v>724</v>
      </c>
      <c r="G51" s="12" t="s">
        <v>26</v>
      </c>
      <c r="H51" s="12">
        <v>24</v>
      </c>
      <c r="I51" s="12">
        <v>4</v>
      </c>
      <c r="J51" s="12">
        <v>20</v>
      </c>
      <c r="K51" s="14">
        <v>45493</v>
      </c>
      <c r="L51" s="14">
        <v>47061</v>
      </c>
      <c r="M51" s="12">
        <v>1568</v>
      </c>
      <c r="N51" s="12">
        <v>600</v>
      </c>
      <c r="O51" s="12" t="s">
        <v>713</v>
      </c>
      <c r="P51" s="12" t="s">
        <v>34</v>
      </c>
    </row>
    <row r="52" spans="1:16" x14ac:dyDescent="0.3">
      <c r="A52" s="12">
        <v>258</v>
      </c>
      <c r="B52" s="13" t="s">
        <v>654</v>
      </c>
      <c r="C52" s="12" t="s">
        <v>655</v>
      </c>
      <c r="D52" s="12" t="s">
        <v>630</v>
      </c>
      <c r="E52" s="12" t="s">
        <v>656</v>
      </c>
      <c r="F52" s="12">
        <v>774</v>
      </c>
      <c r="G52" s="12" t="s">
        <v>32</v>
      </c>
      <c r="H52" s="12">
        <v>38</v>
      </c>
      <c r="I52" s="12">
        <v>34</v>
      </c>
      <c r="J52" s="12">
        <v>4</v>
      </c>
      <c r="K52" s="14">
        <v>45479</v>
      </c>
      <c r="L52" s="14">
        <v>46920</v>
      </c>
      <c r="M52" s="12">
        <v>1441</v>
      </c>
      <c r="N52" s="12">
        <v>220</v>
      </c>
      <c r="O52" s="12" t="s">
        <v>657</v>
      </c>
      <c r="P52" s="12" t="s">
        <v>28</v>
      </c>
    </row>
    <row r="53" spans="1:16" x14ac:dyDescent="0.3">
      <c r="A53" s="12">
        <v>266</v>
      </c>
      <c r="B53" s="13" t="s">
        <v>686</v>
      </c>
      <c r="C53" s="12" t="s">
        <v>687</v>
      </c>
      <c r="D53" s="12" t="s">
        <v>688</v>
      </c>
      <c r="E53" s="12" t="s">
        <v>689</v>
      </c>
      <c r="F53" s="12">
        <v>430</v>
      </c>
      <c r="G53" s="12" t="s">
        <v>65</v>
      </c>
      <c r="H53" s="12">
        <v>30</v>
      </c>
      <c r="I53" s="12">
        <v>18</v>
      </c>
      <c r="J53" s="12">
        <v>12</v>
      </c>
      <c r="K53" s="14">
        <v>45487</v>
      </c>
      <c r="L53" s="14">
        <v>47001</v>
      </c>
      <c r="M53" s="12">
        <v>1514</v>
      </c>
      <c r="N53" s="12">
        <v>380</v>
      </c>
      <c r="O53" s="12" t="s">
        <v>690</v>
      </c>
      <c r="P53" s="12" t="s">
        <v>28</v>
      </c>
    </row>
    <row r="54" spans="1:16" x14ac:dyDescent="0.3">
      <c r="A54" s="12">
        <v>120</v>
      </c>
      <c r="B54" s="13" t="s">
        <v>103</v>
      </c>
      <c r="C54" s="12" t="s">
        <v>104</v>
      </c>
      <c r="D54" s="12" t="s">
        <v>18</v>
      </c>
      <c r="E54" s="12" t="s">
        <v>105</v>
      </c>
      <c r="F54" s="12">
        <v>508</v>
      </c>
      <c r="G54" s="12" t="s">
        <v>65</v>
      </c>
      <c r="H54" s="12">
        <v>39</v>
      </c>
      <c r="I54" s="12">
        <v>21</v>
      </c>
      <c r="J54" s="12">
        <v>18</v>
      </c>
      <c r="K54" s="14">
        <v>45341</v>
      </c>
      <c r="L54" s="14">
        <v>45520</v>
      </c>
      <c r="M54" s="12">
        <v>179</v>
      </c>
      <c r="N54" s="12">
        <v>420</v>
      </c>
      <c r="O54" s="12" t="s">
        <v>106</v>
      </c>
      <c r="P54" s="12" t="s">
        <v>107</v>
      </c>
    </row>
    <row r="55" spans="1:16" x14ac:dyDescent="0.3">
      <c r="A55" s="12">
        <v>112</v>
      </c>
      <c r="B55" s="13" t="s">
        <v>71</v>
      </c>
      <c r="C55" s="12" t="s">
        <v>72</v>
      </c>
      <c r="D55" s="12" t="s">
        <v>18</v>
      </c>
      <c r="E55" s="12" t="s">
        <v>73</v>
      </c>
      <c r="F55" s="12">
        <v>530</v>
      </c>
      <c r="G55" s="12" t="s">
        <v>38</v>
      </c>
      <c r="H55" s="12">
        <v>29</v>
      </c>
      <c r="I55" s="12">
        <v>10</v>
      </c>
      <c r="J55" s="12">
        <v>19</v>
      </c>
      <c r="K55" s="14">
        <v>45333</v>
      </c>
      <c r="L55" s="14">
        <v>45441</v>
      </c>
      <c r="M55" s="12">
        <v>108</v>
      </c>
      <c r="N55" s="12">
        <v>100</v>
      </c>
      <c r="O55" s="12" t="s">
        <v>74</v>
      </c>
      <c r="P55" s="12" t="s">
        <v>28</v>
      </c>
    </row>
    <row r="56" spans="1:16" x14ac:dyDescent="0.3">
      <c r="A56" s="12">
        <v>101</v>
      </c>
      <c r="B56" s="13" t="s">
        <v>16</v>
      </c>
      <c r="C56" s="12" t="s">
        <v>17</v>
      </c>
      <c r="D56" s="12" t="s">
        <v>18</v>
      </c>
      <c r="E56" s="12" t="s">
        <v>19</v>
      </c>
      <c r="F56" s="12">
        <v>302</v>
      </c>
      <c r="G56" s="12" t="s">
        <v>20</v>
      </c>
      <c r="H56" s="12">
        <v>45</v>
      </c>
      <c r="I56" s="12">
        <v>23</v>
      </c>
      <c r="J56" s="12">
        <v>22</v>
      </c>
      <c r="K56" s="14">
        <v>45322</v>
      </c>
      <c r="L56" s="14">
        <v>45327</v>
      </c>
      <c r="M56" s="12">
        <v>5</v>
      </c>
      <c r="N56" s="12">
        <v>460</v>
      </c>
      <c r="O56" s="12" t="s">
        <v>21</v>
      </c>
      <c r="P56" s="12" t="s">
        <v>22</v>
      </c>
    </row>
    <row r="57" spans="1:16" x14ac:dyDescent="0.3">
      <c r="A57" s="12">
        <v>296</v>
      </c>
      <c r="B57" s="13" t="s">
        <v>804</v>
      </c>
      <c r="C57" s="12" t="s">
        <v>805</v>
      </c>
      <c r="D57" s="12" t="s">
        <v>806</v>
      </c>
      <c r="E57" s="12" t="s">
        <v>807</v>
      </c>
      <c r="F57" s="12">
        <v>424</v>
      </c>
      <c r="G57" s="12" t="s">
        <v>65</v>
      </c>
      <c r="H57" s="12">
        <v>13</v>
      </c>
      <c r="I57" s="12">
        <v>4</v>
      </c>
      <c r="J57" s="12">
        <v>9</v>
      </c>
      <c r="K57" s="14">
        <v>45336</v>
      </c>
      <c r="L57" s="14">
        <v>45470</v>
      </c>
      <c r="M57" s="12">
        <v>134</v>
      </c>
      <c r="N57" s="12">
        <v>800</v>
      </c>
      <c r="O57" s="12" t="s">
        <v>808</v>
      </c>
      <c r="P57" s="12" t="s">
        <v>28</v>
      </c>
    </row>
    <row r="58" spans="1:16" x14ac:dyDescent="0.3">
      <c r="A58" s="12">
        <v>102</v>
      </c>
      <c r="B58" s="13" t="s">
        <v>23</v>
      </c>
      <c r="C58" s="12" t="s">
        <v>24</v>
      </c>
      <c r="D58" s="12" t="s">
        <v>18</v>
      </c>
      <c r="E58" s="12" t="s">
        <v>25</v>
      </c>
      <c r="F58" s="12">
        <v>635</v>
      </c>
      <c r="G58" s="12" t="s">
        <v>26</v>
      </c>
      <c r="H58" s="12">
        <v>37</v>
      </c>
      <c r="I58" s="12">
        <v>19</v>
      </c>
      <c r="J58" s="12">
        <v>18</v>
      </c>
      <c r="K58" s="14">
        <v>45323</v>
      </c>
      <c r="L58" s="14">
        <v>45340</v>
      </c>
      <c r="M58" s="12">
        <v>17</v>
      </c>
      <c r="N58" s="12">
        <v>380</v>
      </c>
      <c r="O58" s="12" t="s">
        <v>27</v>
      </c>
      <c r="P58" s="12" t="s">
        <v>28</v>
      </c>
    </row>
    <row r="59" spans="1:16" x14ac:dyDescent="0.3">
      <c r="A59" s="12">
        <v>288</v>
      </c>
      <c r="B59" s="13" t="s">
        <v>772</v>
      </c>
      <c r="C59" s="12" t="s">
        <v>773</v>
      </c>
      <c r="D59" s="12" t="s">
        <v>765</v>
      </c>
      <c r="E59" s="12" t="s">
        <v>774</v>
      </c>
      <c r="F59" s="12">
        <v>997</v>
      </c>
      <c r="G59" s="12" t="s">
        <v>20</v>
      </c>
      <c r="H59" s="12">
        <v>8</v>
      </c>
      <c r="I59" s="12">
        <v>8</v>
      </c>
      <c r="J59" s="12">
        <v>0</v>
      </c>
      <c r="K59" s="14">
        <v>45328</v>
      </c>
      <c r="L59" s="14">
        <v>45388</v>
      </c>
      <c r="M59" s="12">
        <v>60</v>
      </c>
      <c r="N59" s="12">
        <v>380</v>
      </c>
      <c r="O59" s="12" t="s">
        <v>775</v>
      </c>
      <c r="P59" s="12" t="s">
        <v>34</v>
      </c>
    </row>
    <row r="60" spans="1:16" x14ac:dyDescent="0.3">
      <c r="A60" s="12">
        <v>111</v>
      </c>
      <c r="B60" s="13" t="s">
        <v>67</v>
      </c>
      <c r="C60" s="12" t="s">
        <v>68</v>
      </c>
      <c r="D60" s="12" t="s">
        <v>18</v>
      </c>
      <c r="E60" s="12" t="s">
        <v>69</v>
      </c>
      <c r="F60" s="12">
        <v>414</v>
      </c>
      <c r="G60" s="12" t="s">
        <v>20</v>
      </c>
      <c r="H60" s="12">
        <v>44</v>
      </c>
      <c r="I60" s="12">
        <v>22</v>
      </c>
      <c r="J60" s="12">
        <v>22</v>
      </c>
      <c r="K60" s="14">
        <v>45332</v>
      </c>
      <c r="L60" s="14">
        <v>45429</v>
      </c>
      <c r="M60" s="12">
        <v>97</v>
      </c>
      <c r="N60" s="12">
        <v>440</v>
      </c>
      <c r="O60" s="12" t="s">
        <v>70</v>
      </c>
      <c r="P60" s="12" t="s">
        <v>28</v>
      </c>
    </row>
    <row r="61" spans="1:16" x14ac:dyDescent="0.3">
      <c r="A61" s="12">
        <v>137</v>
      </c>
      <c r="B61" s="13" t="s">
        <v>173</v>
      </c>
      <c r="C61" s="12" t="s">
        <v>174</v>
      </c>
      <c r="D61" s="12" t="s">
        <v>138</v>
      </c>
      <c r="E61" s="12" t="s">
        <v>175</v>
      </c>
      <c r="F61" s="12">
        <v>710</v>
      </c>
      <c r="G61" s="12" t="s">
        <v>20</v>
      </c>
      <c r="H61" s="12">
        <v>13</v>
      </c>
      <c r="I61" s="12">
        <v>7</v>
      </c>
      <c r="J61" s="12">
        <v>6</v>
      </c>
      <c r="K61" s="14">
        <v>45358</v>
      </c>
      <c r="L61" s="14">
        <v>45694</v>
      </c>
      <c r="M61" s="12">
        <v>336</v>
      </c>
      <c r="N61" s="12">
        <v>400</v>
      </c>
      <c r="O61" s="12" t="s">
        <v>176</v>
      </c>
      <c r="P61" s="12" t="s">
        <v>28</v>
      </c>
    </row>
    <row r="62" spans="1:16" x14ac:dyDescent="0.3">
      <c r="A62" s="12">
        <v>125</v>
      </c>
      <c r="B62" s="13" t="s">
        <v>124</v>
      </c>
      <c r="C62" s="12" t="s">
        <v>125</v>
      </c>
      <c r="D62" s="12" t="s">
        <v>18</v>
      </c>
      <c r="E62" s="12" t="s">
        <v>126</v>
      </c>
      <c r="F62" s="12">
        <v>585</v>
      </c>
      <c r="G62" s="12" t="s">
        <v>32</v>
      </c>
      <c r="H62" s="12">
        <v>26</v>
      </c>
      <c r="I62" s="12">
        <v>13</v>
      </c>
      <c r="J62" s="12">
        <v>13</v>
      </c>
      <c r="K62" s="14">
        <v>45346</v>
      </c>
      <c r="L62" s="14">
        <v>45569</v>
      </c>
      <c r="M62" s="12">
        <v>223</v>
      </c>
      <c r="N62" s="12">
        <v>130</v>
      </c>
      <c r="O62" s="12" t="s">
        <v>127</v>
      </c>
      <c r="P62" s="12" t="s">
        <v>28</v>
      </c>
    </row>
    <row r="63" spans="1:16" x14ac:dyDescent="0.3">
      <c r="A63" s="12">
        <v>228</v>
      </c>
      <c r="B63" s="13" t="s">
        <v>533</v>
      </c>
      <c r="C63" s="12" t="s">
        <v>534</v>
      </c>
      <c r="D63" s="12" t="s">
        <v>526</v>
      </c>
      <c r="E63" s="12" t="s">
        <v>535</v>
      </c>
      <c r="F63" s="12">
        <v>334</v>
      </c>
      <c r="G63" s="12" t="s">
        <v>20</v>
      </c>
      <c r="H63" s="12">
        <v>19</v>
      </c>
      <c r="I63" s="12">
        <v>2</v>
      </c>
      <c r="J63" s="12">
        <v>17</v>
      </c>
      <c r="K63" s="14">
        <v>45449</v>
      </c>
      <c r="L63" s="14">
        <v>46617</v>
      </c>
      <c r="M63" s="12">
        <v>1168</v>
      </c>
      <c r="N63" s="12">
        <v>440</v>
      </c>
      <c r="O63" s="12" t="s">
        <v>536</v>
      </c>
      <c r="P63" s="12" t="s">
        <v>28</v>
      </c>
    </row>
    <row r="64" spans="1:16" x14ac:dyDescent="0.3">
      <c r="A64" s="12">
        <v>178</v>
      </c>
      <c r="B64" s="13" t="s">
        <v>337</v>
      </c>
      <c r="C64" s="12" t="s">
        <v>338</v>
      </c>
      <c r="D64" s="12" t="s">
        <v>310</v>
      </c>
      <c r="E64" s="12" t="s">
        <v>339</v>
      </c>
      <c r="F64" s="12">
        <v>971</v>
      </c>
      <c r="G64" s="12" t="s">
        <v>20</v>
      </c>
      <c r="H64" s="12">
        <v>20</v>
      </c>
      <c r="I64" s="12">
        <v>1</v>
      </c>
      <c r="J64" s="12">
        <v>19</v>
      </c>
      <c r="K64" s="14">
        <v>45399</v>
      </c>
      <c r="L64" s="14">
        <v>46109</v>
      </c>
      <c r="M64" s="12">
        <v>710</v>
      </c>
      <c r="N64" s="12">
        <v>480</v>
      </c>
      <c r="O64" s="12" t="s">
        <v>340</v>
      </c>
      <c r="P64" s="12" t="s">
        <v>28</v>
      </c>
    </row>
    <row r="65" spans="1:16" x14ac:dyDescent="0.3">
      <c r="A65" s="12">
        <v>128</v>
      </c>
      <c r="B65" s="13" t="s">
        <v>136</v>
      </c>
      <c r="C65" s="12" t="s">
        <v>137</v>
      </c>
      <c r="D65" s="12" t="s">
        <v>138</v>
      </c>
      <c r="E65" s="12" t="s">
        <v>139</v>
      </c>
      <c r="F65" s="12">
        <v>360</v>
      </c>
      <c r="G65" s="12" t="s">
        <v>65</v>
      </c>
      <c r="H65" s="12">
        <v>23</v>
      </c>
      <c r="I65" s="12">
        <v>14</v>
      </c>
      <c r="J65" s="12">
        <v>9</v>
      </c>
      <c r="K65" s="14">
        <v>45349</v>
      </c>
      <c r="L65" s="14">
        <v>45598</v>
      </c>
      <c r="M65" s="12">
        <v>249</v>
      </c>
      <c r="N65" s="12">
        <v>280</v>
      </c>
      <c r="O65" s="12" t="s">
        <v>140</v>
      </c>
      <c r="P65" s="12" t="s">
        <v>28</v>
      </c>
    </row>
    <row r="66" spans="1:16" x14ac:dyDescent="0.3">
      <c r="A66" s="12">
        <v>240</v>
      </c>
      <c r="B66" s="13" t="s">
        <v>582</v>
      </c>
      <c r="C66" s="12" t="s">
        <v>583</v>
      </c>
      <c r="D66" s="12" t="s">
        <v>567</v>
      </c>
      <c r="E66" s="12" t="s">
        <v>584</v>
      </c>
      <c r="F66" s="12">
        <v>746</v>
      </c>
      <c r="G66" s="12" t="s">
        <v>26</v>
      </c>
      <c r="H66" s="12">
        <v>10</v>
      </c>
      <c r="I66" s="12">
        <v>7</v>
      </c>
      <c r="J66" s="12">
        <v>3</v>
      </c>
      <c r="K66" s="14">
        <v>45461</v>
      </c>
      <c r="L66" s="14">
        <v>46739</v>
      </c>
      <c r="M66" s="12">
        <v>1278</v>
      </c>
      <c r="N66" s="12">
        <v>280</v>
      </c>
      <c r="O66" s="12" t="s">
        <v>585</v>
      </c>
      <c r="P66" s="12" t="s">
        <v>28</v>
      </c>
    </row>
    <row r="67" spans="1:16" x14ac:dyDescent="0.3">
      <c r="A67" s="12">
        <v>173</v>
      </c>
      <c r="B67" s="13" t="s">
        <v>317</v>
      </c>
      <c r="C67" s="12" t="s">
        <v>318</v>
      </c>
      <c r="D67" s="12" t="s">
        <v>310</v>
      </c>
      <c r="E67" s="12" t="s">
        <v>319</v>
      </c>
      <c r="F67" s="12">
        <v>587</v>
      </c>
      <c r="G67" s="12" t="s">
        <v>38</v>
      </c>
      <c r="H67" s="12">
        <v>25</v>
      </c>
      <c r="I67" s="12">
        <v>23</v>
      </c>
      <c r="J67" s="12">
        <v>2</v>
      </c>
      <c r="K67" s="14">
        <v>45394</v>
      </c>
      <c r="L67" s="14">
        <v>46058</v>
      </c>
      <c r="M67" s="12">
        <v>664</v>
      </c>
      <c r="N67" s="12">
        <v>360</v>
      </c>
      <c r="O67" s="12" t="s">
        <v>320</v>
      </c>
      <c r="P67" s="12" t="s">
        <v>28</v>
      </c>
    </row>
    <row r="68" spans="1:16" x14ac:dyDescent="0.3">
      <c r="A68" s="12">
        <v>172</v>
      </c>
      <c r="B68" s="13" t="s">
        <v>313</v>
      </c>
      <c r="C68" s="12" t="s">
        <v>314</v>
      </c>
      <c r="D68" s="12" t="s">
        <v>310</v>
      </c>
      <c r="E68" s="12" t="s">
        <v>315</v>
      </c>
      <c r="F68" s="12">
        <v>761</v>
      </c>
      <c r="G68" s="12" t="s">
        <v>65</v>
      </c>
      <c r="H68" s="12">
        <v>26</v>
      </c>
      <c r="I68" s="12">
        <v>13</v>
      </c>
      <c r="J68" s="12">
        <v>13</v>
      </c>
      <c r="K68" s="14">
        <v>45393</v>
      </c>
      <c r="L68" s="14">
        <v>46050</v>
      </c>
      <c r="M68" s="12">
        <v>657</v>
      </c>
      <c r="N68" s="12">
        <v>320</v>
      </c>
      <c r="O68" s="12" t="s">
        <v>316</v>
      </c>
      <c r="P68" s="12" t="s">
        <v>28</v>
      </c>
    </row>
    <row r="69" spans="1:16" x14ac:dyDescent="0.3">
      <c r="A69" s="12">
        <v>227</v>
      </c>
      <c r="B69" s="13" t="s">
        <v>529</v>
      </c>
      <c r="C69" s="12" t="s">
        <v>530</v>
      </c>
      <c r="D69" s="12" t="s">
        <v>526</v>
      </c>
      <c r="E69" s="12" t="s">
        <v>531</v>
      </c>
      <c r="F69" s="12">
        <v>227</v>
      </c>
      <c r="G69" s="12" t="s">
        <v>32</v>
      </c>
      <c r="H69" s="12">
        <v>20</v>
      </c>
      <c r="I69" s="12">
        <v>17</v>
      </c>
      <c r="J69" s="12">
        <v>3</v>
      </c>
      <c r="K69" s="14">
        <v>45448</v>
      </c>
      <c r="L69" s="14">
        <v>46603</v>
      </c>
      <c r="M69" s="12">
        <v>1155</v>
      </c>
      <c r="N69" s="12">
        <v>420</v>
      </c>
      <c r="O69" s="12" t="s">
        <v>532</v>
      </c>
      <c r="P69" s="12" t="s">
        <v>28</v>
      </c>
    </row>
    <row r="70" spans="1:16" x14ac:dyDescent="0.3">
      <c r="A70" s="12">
        <v>201</v>
      </c>
      <c r="B70" s="13" t="s">
        <v>425</v>
      </c>
      <c r="C70" s="12" t="s">
        <v>426</v>
      </c>
      <c r="D70" s="12" t="s">
        <v>425</v>
      </c>
      <c r="E70" s="12" t="s">
        <v>427</v>
      </c>
      <c r="F70" s="12">
        <v>963</v>
      </c>
      <c r="G70" s="12" t="s">
        <v>32</v>
      </c>
      <c r="H70" s="12">
        <v>46</v>
      </c>
      <c r="I70" s="12">
        <v>23</v>
      </c>
      <c r="J70" s="12">
        <v>23</v>
      </c>
      <c r="K70" s="14">
        <v>45422</v>
      </c>
      <c r="L70" s="14">
        <v>46343</v>
      </c>
      <c r="M70" s="12">
        <v>921</v>
      </c>
      <c r="N70" s="12">
        <v>200</v>
      </c>
      <c r="O70" s="12" t="s">
        <v>428</v>
      </c>
      <c r="P70" s="12" t="s">
        <v>28</v>
      </c>
    </row>
    <row r="71" spans="1:16" x14ac:dyDescent="0.3">
      <c r="A71" s="12">
        <v>255</v>
      </c>
      <c r="B71" s="13" t="s">
        <v>642</v>
      </c>
      <c r="C71" s="12" t="s">
        <v>643</v>
      </c>
      <c r="D71" s="12" t="s">
        <v>606</v>
      </c>
      <c r="E71" s="12" t="s">
        <v>644</v>
      </c>
      <c r="F71" s="12">
        <v>753</v>
      </c>
      <c r="G71" s="12" t="s">
        <v>32</v>
      </c>
      <c r="H71" s="12">
        <v>41</v>
      </c>
      <c r="I71" s="12">
        <v>35</v>
      </c>
      <c r="J71" s="12">
        <v>6</v>
      </c>
      <c r="K71" s="14">
        <v>45476</v>
      </c>
      <c r="L71" s="14">
        <v>46891</v>
      </c>
      <c r="M71" s="12">
        <v>1415</v>
      </c>
      <c r="N71" s="12">
        <v>160</v>
      </c>
      <c r="O71" s="12" t="s">
        <v>645</v>
      </c>
      <c r="P71" s="12" t="s">
        <v>34</v>
      </c>
    </row>
    <row r="72" spans="1:16" x14ac:dyDescent="0.3">
      <c r="A72" s="12">
        <v>259</v>
      </c>
      <c r="B72" s="13" t="s">
        <v>658</v>
      </c>
      <c r="C72" s="12" t="s">
        <v>659</v>
      </c>
      <c r="D72" s="12" t="s">
        <v>630</v>
      </c>
      <c r="E72" s="12" t="s">
        <v>660</v>
      </c>
      <c r="F72" s="12">
        <v>942</v>
      </c>
      <c r="G72" s="12" t="s">
        <v>65</v>
      </c>
      <c r="H72" s="12">
        <v>37</v>
      </c>
      <c r="I72" s="12">
        <v>22</v>
      </c>
      <c r="J72" s="12">
        <v>15</v>
      </c>
      <c r="K72" s="14">
        <v>45480</v>
      </c>
      <c r="L72" s="14">
        <v>46932</v>
      </c>
      <c r="M72" s="12">
        <v>1452</v>
      </c>
      <c r="N72" s="12">
        <v>240</v>
      </c>
      <c r="O72" s="12" t="s">
        <v>661</v>
      </c>
      <c r="P72" s="12" t="s">
        <v>28</v>
      </c>
    </row>
    <row r="73" spans="1:16" x14ac:dyDescent="0.3">
      <c r="A73" s="12">
        <v>144</v>
      </c>
      <c r="B73" s="13" t="s">
        <v>202</v>
      </c>
      <c r="C73" s="12" t="s">
        <v>203</v>
      </c>
      <c r="D73" s="12" t="s">
        <v>183</v>
      </c>
      <c r="E73" s="12" t="s">
        <v>204</v>
      </c>
      <c r="F73" s="12">
        <v>762</v>
      </c>
      <c r="G73" s="12" t="s">
        <v>20</v>
      </c>
      <c r="H73" s="12">
        <v>6</v>
      </c>
      <c r="I73" s="12">
        <v>2</v>
      </c>
      <c r="J73" s="12">
        <v>4</v>
      </c>
      <c r="K73" s="14">
        <v>45365</v>
      </c>
      <c r="L73" s="14">
        <v>45763</v>
      </c>
      <c r="M73" s="12">
        <v>398</v>
      </c>
      <c r="N73" s="12">
        <v>180</v>
      </c>
      <c r="O73" s="12" t="s">
        <v>205</v>
      </c>
      <c r="P73" s="12" t="s">
        <v>107</v>
      </c>
    </row>
    <row r="74" spans="1:16" x14ac:dyDescent="0.3">
      <c r="A74" s="12">
        <v>148</v>
      </c>
      <c r="B74" s="13" t="s">
        <v>218</v>
      </c>
      <c r="C74" s="12" t="s">
        <v>219</v>
      </c>
      <c r="D74" s="12" t="s">
        <v>183</v>
      </c>
      <c r="E74" s="12" t="s">
        <v>220</v>
      </c>
      <c r="F74" s="12">
        <v>330</v>
      </c>
      <c r="G74" s="12" t="s">
        <v>32</v>
      </c>
      <c r="H74" s="12">
        <v>2</v>
      </c>
      <c r="I74" s="12">
        <v>1</v>
      </c>
      <c r="J74" s="12">
        <v>1</v>
      </c>
      <c r="K74" s="14">
        <v>45369</v>
      </c>
      <c r="L74" s="14">
        <v>45807</v>
      </c>
      <c r="M74" s="12">
        <v>438</v>
      </c>
      <c r="N74" s="12">
        <v>320</v>
      </c>
      <c r="O74" s="12" t="s">
        <v>221</v>
      </c>
      <c r="P74" s="12" t="s">
        <v>28</v>
      </c>
    </row>
    <row r="75" spans="1:16" x14ac:dyDescent="0.3">
      <c r="A75" s="12">
        <v>143</v>
      </c>
      <c r="B75" s="13" t="s">
        <v>198</v>
      </c>
      <c r="C75" s="12" t="s">
        <v>199</v>
      </c>
      <c r="D75" s="12" t="s">
        <v>183</v>
      </c>
      <c r="E75" s="12" t="s">
        <v>200</v>
      </c>
      <c r="F75" s="12">
        <v>886</v>
      </c>
      <c r="G75" s="12" t="s">
        <v>26</v>
      </c>
      <c r="H75" s="12">
        <v>7</v>
      </c>
      <c r="I75" s="12">
        <v>1</v>
      </c>
      <c r="J75" s="12">
        <v>6</v>
      </c>
      <c r="K75" s="14">
        <v>45364</v>
      </c>
      <c r="L75" s="14">
        <v>45751</v>
      </c>
      <c r="M75" s="12">
        <v>387</v>
      </c>
      <c r="N75" s="12">
        <v>200</v>
      </c>
      <c r="O75" s="12" t="s">
        <v>201</v>
      </c>
      <c r="P75" s="12" t="s">
        <v>28</v>
      </c>
    </row>
    <row r="76" spans="1:16" x14ac:dyDescent="0.3">
      <c r="A76" s="12">
        <v>127</v>
      </c>
      <c r="B76" s="13" t="s">
        <v>132</v>
      </c>
      <c r="C76" s="12" t="s">
        <v>133</v>
      </c>
      <c r="D76" s="12" t="s">
        <v>18</v>
      </c>
      <c r="E76" s="12" t="s">
        <v>134</v>
      </c>
      <c r="F76" s="12">
        <v>476</v>
      </c>
      <c r="G76" s="12" t="s">
        <v>32</v>
      </c>
      <c r="H76" s="12">
        <v>24</v>
      </c>
      <c r="I76" s="12">
        <v>15</v>
      </c>
      <c r="J76" s="12">
        <v>9</v>
      </c>
      <c r="K76" s="14">
        <v>45348</v>
      </c>
      <c r="L76" s="14">
        <v>45594</v>
      </c>
      <c r="M76" s="12">
        <v>246</v>
      </c>
      <c r="N76" s="12">
        <v>240</v>
      </c>
      <c r="O76" s="12" t="s">
        <v>135</v>
      </c>
      <c r="P76" s="12" t="s">
        <v>28</v>
      </c>
    </row>
    <row r="77" spans="1:16" x14ac:dyDescent="0.3">
      <c r="A77" s="12">
        <v>285</v>
      </c>
      <c r="B77" s="13" t="s">
        <v>759</v>
      </c>
      <c r="C77" s="12" t="s">
        <v>760</v>
      </c>
      <c r="D77" s="12" t="s">
        <v>727</v>
      </c>
      <c r="E77" s="12" t="s">
        <v>761</v>
      </c>
      <c r="F77" s="12">
        <v>819</v>
      </c>
      <c r="G77" s="12" t="s">
        <v>32</v>
      </c>
      <c r="H77" s="12">
        <v>11</v>
      </c>
      <c r="I77" s="12">
        <v>5</v>
      </c>
      <c r="J77" s="12">
        <v>6</v>
      </c>
      <c r="K77" s="14">
        <v>45325</v>
      </c>
      <c r="L77" s="14">
        <v>45354</v>
      </c>
      <c r="M77" s="12">
        <v>29</v>
      </c>
      <c r="N77" s="12">
        <v>320</v>
      </c>
      <c r="O77" s="12" t="s">
        <v>762</v>
      </c>
      <c r="P77" s="12" t="s">
        <v>28</v>
      </c>
    </row>
    <row r="78" spans="1:16" x14ac:dyDescent="0.3">
      <c r="A78" s="12">
        <v>181</v>
      </c>
      <c r="B78" s="13" t="s">
        <v>349</v>
      </c>
      <c r="C78" s="12" t="s">
        <v>350</v>
      </c>
      <c r="D78" s="12" t="s">
        <v>351</v>
      </c>
      <c r="E78" s="12" t="s">
        <v>352</v>
      </c>
      <c r="F78" s="12">
        <v>601</v>
      </c>
      <c r="G78" s="12" t="s">
        <v>32</v>
      </c>
      <c r="H78" s="12">
        <v>17</v>
      </c>
      <c r="I78" s="12">
        <v>4</v>
      </c>
      <c r="J78" s="12">
        <v>13</v>
      </c>
      <c r="K78" s="14">
        <v>45402</v>
      </c>
      <c r="L78" s="14">
        <v>46141</v>
      </c>
      <c r="M78" s="12">
        <v>739</v>
      </c>
      <c r="N78" s="12">
        <v>240</v>
      </c>
      <c r="O78" s="12" t="s">
        <v>305</v>
      </c>
      <c r="P78" s="12" t="s">
        <v>22</v>
      </c>
    </row>
    <row r="79" spans="1:16" x14ac:dyDescent="0.3">
      <c r="A79" s="12">
        <v>129</v>
      </c>
      <c r="B79" s="13" t="s">
        <v>141</v>
      </c>
      <c r="C79" s="12" t="s">
        <v>142</v>
      </c>
      <c r="D79" s="12" t="s">
        <v>138</v>
      </c>
      <c r="E79" s="12" t="s">
        <v>143</v>
      </c>
      <c r="F79" s="12">
        <v>659</v>
      </c>
      <c r="G79" s="12" t="s">
        <v>65</v>
      </c>
      <c r="H79" s="12">
        <v>21</v>
      </c>
      <c r="I79" s="12">
        <v>16</v>
      </c>
      <c r="J79" s="12">
        <v>5</v>
      </c>
      <c r="K79" s="14">
        <v>45350</v>
      </c>
      <c r="L79" s="14">
        <v>45611</v>
      </c>
      <c r="M79" s="12">
        <v>261</v>
      </c>
      <c r="N79" s="12">
        <v>320</v>
      </c>
      <c r="O79" s="12" t="s">
        <v>144</v>
      </c>
      <c r="P79" s="12" t="s">
        <v>28</v>
      </c>
    </row>
    <row r="80" spans="1:16" x14ac:dyDescent="0.3">
      <c r="A80" s="12">
        <v>130</v>
      </c>
      <c r="B80" s="13" t="s">
        <v>145</v>
      </c>
      <c r="C80" s="12" t="s">
        <v>146</v>
      </c>
      <c r="D80" s="12" t="s">
        <v>138</v>
      </c>
      <c r="E80" s="12" t="s">
        <v>147</v>
      </c>
      <c r="F80" s="12">
        <v>513</v>
      </c>
      <c r="G80" s="12" t="s">
        <v>20</v>
      </c>
      <c r="H80" s="12">
        <v>20</v>
      </c>
      <c r="I80" s="12">
        <v>11</v>
      </c>
      <c r="J80" s="12">
        <v>9</v>
      </c>
      <c r="K80" s="14">
        <v>45351</v>
      </c>
      <c r="L80" s="14">
        <v>45624</v>
      </c>
      <c r="M80" s="12">
        <v>273</v>
      </c>
      <c r="N80" s="12">
        <v>200</v>
      </c>
      <c r="O80" s="12" t="s">
        <v>148</v>
      </c>
      <c r="P80" s="12" t="s">
        <v>22</v>
      </c>
    </row>
    <row r="81" spans="1:16" x14ac:dyDescent="0.3">
      <c r="A81" s="12">
        <v>182</v>
      </c>
      <c r="B81" s="13" t="s">
        <v>353</v>
      </c>
      <c r="C81" s="12" t="s">
        <v>354</v>
      </c>
      <c r="D81" s="12" t="s">
        <v>351</v>
      </c>
      <c r="E81" s="12" t="s">
        <v>355</v>
      </c>
      <c r="F81" s="12">
        <v>929</v>
      </c>
      <c r="G81" s="12" t="s">
        <v>20</v>
      </c>
      <c r="H81" s="12">
        <v>16</v>
      </c>
      <c r="I81" s="12">
        <v>5</v>
      </c>
      <c r="J81" s="12">
        <v>11</v>
      </c>
      <c r="K81" s="14">
        <v>45403</v>
      </c>
      <c r="L81" s="14">
        <v>46146</v>
      </c>
      <c r="M81" s="12">
        <v>743</v>
      </c>
      <c r="N81" s="12">
        <v>160</v>
      </c>
      <c r="O81" s="12" t="s">
        <v>356</v>
      </c>
      <c r="P81" s="12" t="s">
        <v>28</v>
      </c>
    </row>
    <row r="82" spans="1:16" x14ac:dyDescent="0.3">
      <c r="A82" s="12">
        <v>231</v>
      </c>
      <c r="B82" s="13" t="s">
        <v>545</v>
      </c>
      <c r="C82" s="12" t="s">
        <v>546</v>
      </c>
      <c r="D82" s="12" t="s">
        <v>526</v>
      </c>
      <c r="E82" s="12" t="s">
        <v>547</v>
      </c>
      <c r="F82" s="12">
        <v>232</v>
      </c>
      <c r="G82" s="12" t="s">
        <v>20</v>
      </c>
      <c r="H82" s="12">
        <v>16</v>
      </c>
      <c r="I82" s="12">
        <v>1</v>
      </c>
      <c r="J82" s="12">
        <v>15</v>
      </c>
      <c r="K82" s="14">
        <v>45452</v>
      </c>
      <c r="L82" s="14">
        <v>46647</v>
      </c>
      <c r="M82" s="12">
        <v>1195</v>
      </c>
      <c r="N82" s="12">
        <v>100</v>
      </c>
      <c r="O82" s="12" t="s">
        <v>548</v>
      </c>
      <c r="P82" s="12" t="s">
        <v>34</v>
      </c>
    </row>
    <row r="83" spans="1:16" x14ac:dyDescent="0.3">
      <c r="A83" s="12">
        <v>232</v>
      </c>
      <c r="B83" s="13" t="s">
        <v>549</v>
      </c>
      <c r="C83" s="12" t="s">
        <v>550</v>
      </c>
      <c r="D83" s="12" t="s">
        <v>526</v>
      </c>
      <c r="E83" s="12" t="s">
        <v>551</v>
      </c>
      <c r="F83" s="12">
        <v>247</v>
      </c>
      <c r="G83" s="12" t="s">
        <v>26</v>
      </c>
      <c r="H83" s="12">
        <v>15</v>
      </c>
      <c r="I83" s="12">
        <v>2</v>
      </c>
      <c r="J83" s="12">
        <v>13</v>
      </c>
      <c r="K83" s="14">
        <v>45453</v>
      </c>
      <c r="L83" s="14">
        <v>46660</v>
      </c>
      <c r="M83" s="12">
        <v>1207</v>
      </c>
      <c r="N83" s="12">
        <v>120</v>
      </c>
      <c r="O83" s="12" t="s">
        <v>552</v>
      </c>
      <c r="P83" s="12" t="s">
        <v>34</v>
      </c>
    </row>
    <row r="84" spans="1:16" x14ac:dyDescent="0.3">
      <c r="A84" s="12">
        <v>219</v>
      </c>
      <c r="B84" s="13" t="s">
        <v>498</v>
      </c>
      <c r="C84" s="12" t="s">
        <v>40</v>
      </c>
      <c r="D84" s="12" t="s">
        <v>447</v>
      </c>
      <c r="E84" s="12" t="s">
        <v>499</v>
      </c>
      <c r="F84" s="12">
        <v>874</v>
      </c>
      <c r="G84" s="12" t="s">
        <v>38</v>
      </c>
      <c r="H84" s="12">
        <v>28</v>
      </c>
      <c r="I84" s="12">
        <v>24</v>
      </c>
      <c r="J84" s="12">
        <v>4</v>
      </c>
      <c r="K84" s="14">
        <v>45440</v>
      </c>
      <c r="L84" s="14">
        <v>46525</v>
      </c>
      <c r="M84" s="12">
        <v>1085</v>
      </c>
      <c r="N84" s="12">
        <v>260</v>
      </c>
      <c r="O84" s="12" t="s">
        <v>500</v>
      </c>
      <c r="P84" s="12" t="s">
        <v>28</v>
      </c>
    </row>
    <row r="85" spans="1:16" x14ac:dyDescent="0.3">
      <c r="A85" s="12">
        <v>156</v>
      </c>
      <c r="B85" s="13" t="s">
        <v>251</v>
      </c>
      <c r="C85" s="12" t="s">
        <v>252</v>
      </c>
      <c r="D85" s="12" t="s">
        <v>232</v>
      </c>
      <c r="E85" s="12" t="s">
        <v>253</v>
      </c>
      <c r="F85" s="12">
        <v>515</v>
      </c>
      <c r="G85" s="12" t="s">
        <v>20</v>
      </c>
      <c r="H85" s="12">
        <v>42</v>
      </c>
      <c r="I85" s="12">
        <v>31</v>
      </c>
      <c r="J85" s="12">
        <v>11</v>
      </c>
      <c r="K85" s="14">
        <v>45377</v>
      </c>
      <c r="L85" s="14">
        <v>45885</v>
      </c>
      <c r="M85" s="12">
        <v>508</v>
      </c>
      <c r="N85" s="12">
        <v>160</v>
      </c>
      <c r="O85" s="12" t="s">
        <v>254</v>
      </c>
      <c r="P85" s="12" t="s">
        <v>28</v>
      </c>
    </row>
    <row r="86" spans="1:16" x14ac:dyDescent="0.3">
      <c r="A86" s="12">
        <v>197</v>
      </c>
      <c r="B86" s="13" t="s">
        <v>410</v>
      </c>
      <c r="C86" s="12" t="s">
        <v>411</v>
      </c>
      <c r="D86" s="12" t="s">
        <v>351</v>
      </c>
      <c r="E86" s="12" t="s">
        <v>412</v>
      </c>
      <c r="F86" s="12">
        <v>537</v>
      </c>
      <c r="G86" s="12" t="s">
        <v>20</v>
      </c>
      <c r="H86" s="12">
        <v>20</v>
      </c>
      <c r="I86" s="12">
        <v>1</v>
      </c>
      <c r="J86" s="12">
        <v>19</v>
      </c>
      <c r="K86" s="14">
        <v>45418</v>
      </c>
      <c r="L86" s="14">
        <v>46298</v>
      </c>
      <c r="M86" s="12">
        <v>880</v>
      </c>
      <c r="N86" s="12">
        <v>420</v>
      </c>
      <c r="O86" s="12" t="s">
        <v>413</v>
      </c>
      <c r="P86" s="12" t="s">
        <v>34</v>
      </c>
    </row>
    <row r="87" spans="1:16" x14ac:dyDescent="0.3">
      <c r="A87" s="12">
        <v>268</v>
      </c>
      <c r="B87" s="13" t="s">
        <v>695</v>
      </c>
      <c r="C87" s="12" t="s">
        <v>696</v>
      </c>
      <c r="D87" s="12" t="s">
        <v>688</v>
      </c>
      <c r="E87" s="12" t="s">
        <v>697</v>
      </c>
      <c r="F87" s="12">
        <v>854</v>
      </c>
      <c r="G87" s="12" t="s">
        <v>32</v>
      </c>
      <c r="H87" s="12">
        <v>28</v>
      </c>
      <c r="I87" s="12">
        <v>22</v>
      </c>
      <c r="J87" s="12">
        <v>6</v>
      </c>
      <c r="K87" s="14">
        <v>45489</v>
      </c>
      <c r="L87" s="14">
        <v>47026</v>
      </c>
      <c r="M87" s="12">
        <v>1537</v>
      </c>
      <c r="N87" s="12">
        <v>420</v>
      </c>
      <c r="O87" s="12" t="s">
        <v>698</v>
      </c>
      <c r="P87" s="12" t="s">
        <v>28</v>
      </c>
    </row>
    <row r="88" spans="1:16" x14ac:dyDescent="0.3">
      <c r="A88" s="12">
        <v>171</v>
      </c>
      <c r="B88" s="13" t="s">
        <v>310</v>
      </c>
      <c r="C88" s="12" t="s">
        <v>311</v>
      </c>
      <c r="D88" s="12" t="s">
        <v>310</v>
      </c>
      <c r="E88" s="12" t="s">
        <v>312</v>
      </c>
      <c r="F88" s="12">
        <v>280</v>
      </c>
      <c r="G88" s="12" t="s">
        <v>65</v>
      </c>
      <c r="H88" s="12">
        <v>27</v>
      </c>
      <c r="I88" s="12">
        <v>12</v>
      </c>
      <c r="J88" s="12">
        <v>15</v>
      </c>
      <c r="K88" s="14">
        <v>45392</v>
      </c>
      <c r="L88" s="14">
        <v>46038</v>
      </c>
      <c r="M88" s="12">
        <v>646</v>
      </c>
      <c r="N88" s="12">
        <v>280</v>
      </c>
      <c r="O88" s="12" t="s">
        <v>106</v>
      </c>
      <c r="P88" s="12" t="s">
        <v>28</v>
      </c>
    </row>
    <row r="89" spans="1:16" x14ac:dyDescent="0.3">
      <c r="A89" s="12">
        <v>121</v>
      </c>
      <c r="B89" s="13" t="s">
        <v>108</v>
      </c>
      <c r="C89" s="12" t="s">
        <v>109</v>
      </c>
      <c r="D89" s="12" t="s">
        <v>18</v>
      </c>
      <c r="E89" s="12" t="s">
        <v>110</v>
      </c>
      <c r="F89" s="12">
        <v>969</v>
      </c>
      <c r="G89" s="12" t="s">
        <v>38</v>
      </c>
      <c r="H89" s="12">
        <v>27</v>
      </c>
      <c r="I89" s="12">
        <v>12</v>
      </c>
      <c r="J89" s="12">
        <v>15</v>
      </c>
      <c r="K89" s="14">
        <v>45342</v>
      </c>
      <c r="L89" s="14">
        <v>45532</v>
      </c>
      <c r="M89" s="12">
        <v>190</v>
      </c>
      <c r="N89" s="12">
        <v>240</v>
      </c>
      <c r="O89" s="12" t="s">
        <v>111</v>
      </c>
      <c r="P89" s="12" t="s">
        <v>28</v>
      </c>
    </row>
    <row r="90" spans="1:16" x14ac:dyDescent="0.3">
      <c r="A90" s="12">
        <v>254</v>
      </c>
      <c r="B90" s="13" t="s">
        <v>638</v>
      </c>
      <c r="C90" s="12" t="s">
        <v>639</v>
      </c>
      <c r="D90" s="12" t="s">
        <v>606</v>
      </c>
      <c r="E90" s="12" t="s">
        <v>640</v>
      </c>
      <c r="F90" s="12">
        <v>214</v>
      </c>
      <c r="G90" s="12" t="s">
        <v>26</v>
      </c>
      <c r="H90" s="12">
        <v>42</v>
      </c>
      <c r="I90" s="12">
        <v>27</v>
      </c>
      <c r="J90" s="12">
        <v>15</v>
      </c>
      <c r="K90" s="14">
        <v>45475</v>
      </c>
      <c r="L90" s="14">
        <v>46877</v>
      </c>
      <c r="M90" s="12">
        <v>1402</v>
      </c>
      <c r="N90" s="12">
        <v>140</v>
      </c>
      <c r="O90" s="12" t="s">
        <v>641</v>
      </c>
      <c r="P90" s="12" t="s">
        <v>34</v>
      </c>
    </row>
    <row r="91" spans="1:16" x14ac:dyDescent="0.3">
      <c r="A91" s="12">
        <v>297</v>
      </c>
      <c r="B91" s="13" t="s">
        <v>809</v>
      </c>
      <c r="C91" s="12" t="s">
        <v>810</v>
      </c>
      <c r="D91" s="12" t="s">
        <v>806</v>
      </c>
      <c r="E91" s="12" t="s">
        <v>811</v>
      </c>
      <c r="F91" s="12">
        <v>584</v>
      </c>
      <c r="G91" s="12" t="s">
        <v>32</v>
      </c>
      <c r="H91" s="12">
        <v>14</v>
      </c>
      <c r="I91" s="12">
        <v>3</v>
      </c>
      <c r="J91" s="12">
        <v>11</v>
      </c>
      <c r="K91" s="14">
        <v>45337</v>
      </c>
      <c r="L91" s="14">
        <v>45478</v>
      </c>
      <c r="M91" s="12">
        <v>141</v>
      </c>
      <c r="N91" s="12">
        <v>100</v>
      </c>
      <c r="O91" s="12" t="s">
        <v>812</v>
      </c>
      <c r="P91" s="12" t="s">
        <v>28</v>
      </c>
    </row>
    <row r="92" spans="1:16" x14ac:dyDescent="0.3">
      <c r="A92" s="12">
        <v>209</v>
      </c>
      <c r="B92" s="13" t="s">
        <v>458</v>
      </c>
      <c r="C92" s="12" t="s">
        <v>459</v>
      </c>
      <c r="D92" s="12" t="s">
        <v>447</v>
      </c>
      <c r="E92" s="12" t="s">
        <v>460</v>
      </c>
      <c r="F92" s="12">
        <v>720</v>
      </c>
      <c r="G92" s="12" t="s">
        <v>20</v>
      </c>
      <c r="H92" s="12">
        <v>38</v>
      </c>
      <c r="I92" s="12">
        <v>23</v>
      </c>
      <c r="J92" s="12">
        <v>15</v>
      </c>
      <c r="K92" s="14">
        <v>45430</v>
      </c>
      <c r="L92" s="14">
        <v>46423</v>
      </c>
      <c r="M92" s="12">
        <v>993</v>
      </c>
      <c r="N92" s="12">
        <v>400</v>
      </c>
      <c r="O92" s="12" t="s">
        <v>461</v>
      </c>
      <c r="P92" s="12" t="s">
        <v>28</v>
      </c>
    </row>
    <row r="93" spans="1:16" x14ac:dyDescent="0.3">
      <c r="A93" s="12">
        <v>184</v>
      </c>
      <c r="B93" s="13" t="s">
        <v>361</v>
      </c>
      <c r="C93" s="12" t="s">
        <v>362</v>
      </c>
      <c r="D93" s="12" t="s">
        <v>351</v>
      </c>
      <c r="E93" s="12" t="s">
        <v>363</v>
      </c>
      <c r="F93" s="12">
        <v>361</v>
      </c>
      <c r="G93" s="12" t="s">
        <v>26</v>
      </c>
      <c r="H93" s="12">
        <v>14</v>
      </c>
      <c r="I93" s="12">
        <v>7</v>
      </c>
      <c r="J93" s="12">
        <v>7</v>
      </c>
      <c r="K93" s="14">
        <v>45405</v>
      </c>
      <c r="L93" s="14">
        <v>46172</v>
      </c>
      <c r="M93" s="12">
        <v>767</v>
      </c>
      <c r="N93" s="12">
        <v>300</v>
      </c>
      <c r="O93" s="12" t="s">
        <v>131</v>
      </c>
      <c r="P93" s="12" t="s">
        <v>28</v>
      </c>
    </row>
    <row r="94" spans="1:16" x14ac:dyDescent="0.3">
      <c r="A94" s="12">
        <v>271</v>
      </c>
      <c r="B94" s="13" t="s">
        <v>706</v>
      </c>
      <c r="C94" s="12" t="s">
        <v>707</v>
      </c>
      <c r="D94" s="12" t="s">
        <v>688</v>
      </c>
      <c r="E94" s="12" t="s">
        <v>708</v>
      </c>
      <c r="F94" s="12">
        <v>235</v>
      </c>
      <c r="G94" s="12" t="s">
        <v>38</v>
      </c>
      <c r="H94" s="12">
        <v>25</v>
      </c>
      <c r="I94" s="12">
        <v>10</v>
      </c>
      <c r="J94" s="12">
        <v>15</v>
      </c>
      <c r="K94" s="14">
        <v>45492</v>
      </c>
      <c r="L94" s="14">
        <v>47054</v>
      </c>
      <c r="M94" s="12">
        <v>1562</v>
      </c>
      <c r="N94" s="12">
        <v>480</v>
      </c>
      <c r="O94" s="12" t="s">
        <v>709</v>
      </c>
      <c r="P94" s="12" t="s">
        <v>34</v>
      </c>
    </row>
    <row r="95" spans="1:16" x14ac:dyDescent="0.3">
      <c r="A95" s="12">
        <v>278</v>
      </c>
      <c r="B95" s="13" t="s">
        <v>733</v>
      </c>
      <c r="C95" s="12" t="s">
        <v>734</v>
      </c>
      <c r="D95" s="12" t="s">
        <v>727</v>
      </c>
      <c r="E95" s="12" t="s">
        <v>735</v>
      </c>
      <c r="F95" s="12">
        <v>777</v>
      </c>
      <c r="G95" s="12" t="s">
        <v>26</v>
      </c>
      <c r="H95" s="12">
        <v>18</v>
      </c>
      <c r="I95" s="12">
        <v>3</v>
      </c>
      <c r="J95" s="12">
        <v>15</v>
      </c>
      <c r="K95" s="14">
        <v>45876</v>
      </c>
      <c r="L95" s="14">
        <v>45890</v>
      </c>
      <c r="M95" s="12">
        <v>14</v>
      </c>
      <c r="N95" s="12">
        <v>180</v>
      </c>
      <c r="O95" s="12" t="s">
        <v>593</v>
      </c>
      <c r="P95" s="12" t="s">
        <v>34</v>
      </c>
    </row>
    <row r="96" spans="1:16" x14ac:dyDescent="0.3">
      <c r="A96" s="12">
        <v>164</v>
      </c>
      <c r="B96" s="13" t="s">
        <v>283</v>
      </c>
      <c r="C96" s="12" t="s">
        <v>284</v>
      </c>
      <c r="D96" s="12" t="s">
        <v>271</v>
      </c>
      <c r="E96" s="12" t="s">
        <v>285</v>
      </c>
      <c r="F96" s="12">
        <v>566</v>
      </c>
      <c r="G96" s="12" t="s">
        <v>32</v>
      </c>
      <c r="H96" s="12">
        <v>34</v>
      </c>
      <c r="I96" s="12">
        <v>17</v>
      </c>
      <c r="J96" s="12">
        <v>17</v>
      </c>
      <c r="K96" s="14">
        <v>45385</v>
      </c>
      <c r="L96" s="14">
        <v>45964</v>
      </c>
      <c r="M96" s="12">
        <v>579</v>
      </c>
      <c r="N96" s="12">
        <v>240</v>
      </c>
      <c r="O96" s="12" t="s">
        <v>286</v>
      </c>
      <c r="P96" s="12" t="s">
        <v>28</v>
      </c>
    </row>
    <row r="97" spans="1:16" x14ac:dyDescent="0.3">
      <c r="A97" s="12">
        <v>174</v>
      </c>
      <c r="B97" s="13" t="s">
        <v>321</v>
      </c>
      <c r="C97" s="12" t="s">
        <v>322</v>
      </c>
      <c r="D97" s="12" t="s">
        <v>310</v>
      </c>
      <c r="E97" s="12" t="s">
        <v>323</v>
      </c>
      <c r="F97" s="12">
        <v>201</v>
      </c>
      <c r="G97" s="12" t="s">
        <v>20</v>
      </c>
      <c r="H97" s="12">
        <v>24</v>
      </c>
      <c r="I97" s="12">
        <v>3</v>
      </c>
      <c r="J97" s="12">
        <v>21</v>
      </c>
      <c r="K97" s="14">
        <v>45395</v>
      </c>
      <c r="L97" s="14">
        <v>46070</v>
      </c>
      <c r="M97" s="12">
        <v>675</v>
      </c>
      <c r="N97" s="12">
        <v>400</v>
      </c>
      <c r="O97" s="12" t="s">
        <v>324</v>
      </c>
      <c r="P97" s="12" t="s">
        <v>28</v>
      </c>
    </row>
    <row r="98" spans="1:16" x14ac:dyDescent="0.3">
      <c r="A98" s="12">
        <v>175</v>
      </c>
      <c r="B98" s="13" t="s">
        <v>325</v>
      </c>
      <c r="C98" s="12" t="s">
        <v>326</v>
      </c>
      <c r="D98" s="12" t="s">
        <v>310</v>
      </c>
      <c r="E98" s="12" t="s">
        <v>327</v>
      </c>
      <c r="F98" s="12">
        <v>589</v>
      </c>
      <c r="G98" s="12" t="s">
        <v>65</v>
      </c>
      <c r="H98" s="12">
        <v>23</v>
      </c>
      <c r="I98" s="12">
        <v>13</v>
      </c>
      <c r="J98" s="12">
        <v>10</v>
      </c>
      <c r="K98" s="14">
        <v>45396</v>
      </c>
      <c r="L98" s="14">
        <v>46080</v>
      </c>
      <c r="M98" s="12">
        <v>684</v>
      </c>
      <c r="N98" s="12">
        <v>420</v>
      </c>
      <c r="O98" s="12" t="s">
        <v>328</v>
      </c>
      <c r="P98" s="12" t="s">
        <v>28</v>
      </c>
    </row>
    <row r="99" spans="1:16" x14ac:dyDescent="0.3">
      <c r="A99" s="12">
        <v>195</v>
      </c>
      <c r="B99" s="13" t="s">
        <v>404</v>
      </c>
      <c r="C99" s="12" t="s">
        <v>405</v>
      </c>
      <c r="D99" s="12" t="s">
        <v>351</v>
      </c>
      <c r="E99" s="12" t="s">
        <v>406</v>
      </c>
      <c r="F99" s="12">
        <v>919</v>
      </c>
      <c r="G99" s="12" t="s">
        <v>32</v>
      </c>
      <c r="H99" s="12">
        <v>18</v>
      </c>
      <c r="I99" s="12">
        <v>3</v>
      </c>
      <c r="J99" s="12">
        <v>15</v>
      </c>
      <c r="K99" s="14">
        <v>45416</v>
      </c>
      <c r="L99" s="14">
        <v>46282</v>
      </c>
      <c r="M99" s="12">
        <v>866</v>
      </c>
      <c r="N99" s="12">
        <v>380</v>
      </c>
      <c r="O99" s="12" t="s">
        <v>407</v>
      </c>
      <c r="P99" s="12" t="s">
        <v>22</v>
      </c>
    </row>
    <row r="100" spans="1:16" x14ac:dyDescent="0.3">
      <c r="A100" s="12">
        <v>135</v>
      </c>
      <c r="B100" s="13" t="s">
        <v>165</v>
      </c>
      <c r="C100" s="12" t="s">
        <v>166</v>
      </c>
      <c r="D100" s="12" t="s">
        <v>138</v>
      </c>
      <c r="E100" s="12" t="s">
        <v>167</v>
      </c>
      <c r="F100" s="12">
        <v>674</v>
      </c>
      <c r="G100" s="12" t="s">
        <v>65</v>
      </c>
      <c r="H100" s="12">
        <v>15</v>
      </c>
      <c r="I100" s="12">
        <v>9</v>
      </c>
      <c r="J100" s="12">
        <v>6</v>
      </c>
      <c r="K100" s="14">
        <v>45356</v>
      </c>
      <c r="L100" s="14">
        <v>45673</v>
      </c>
      <c r="M100" s="12">
        <v>317</v>
      </c>
      <c r="N100" s="12">
        <v>340</v>
      </c>
      <c r="O100" s="12" t="s">
        <v>168</v>
      </c>
      <c r="P100" s="12" t="s">
        <v>28</v>
      </c>
    </row>
    <row r="101" spans="1:16" x14ac:dyDescent="0.3">
      <c r="A101" s="12">
        <v>160</v>
      </c>
      <c r="B101" s="13" t="s">
        <v>267</v>
      </c>
      <c r="C101" s="12" t="s">
        <v>268</v>
      </c>
      <c r="D101" s="12" t="s">
        <v>232</v>
      </c>
      <c r="E101" s="12" t="s">
        <v>269</v>
      </c>
      <c r="F101" s="12">
        <v>545</v>
      </c>
      <c r="G101" s="12" t="s">
        <v>38</v>
      </c>
      <c r="H101" s="12">
        <v>38</v>
      </c>
      <c r="I101" s="12">
        <v>23</v>
      </c>
      <c r="J101" s="12">
        <v>15</v>
      </c>
      <c r="K101" s="14">
        <v>45381</v>
      </c>
      <c r="L101" s="14">
        <v>45930</v>
      </c>
      <c r="M101" s="12">
        <v>549</v>
      </c>
      <c r="N101" s="12">
        <v>120</v>
      </c>
      <c r="O101" s="12" t="s">
        <v>270</v>
      </c>
      <c r="P101" s="12" t="s">
        <v>28</v>
      </c>
    </row>
    <row r="102" spans="1:16" x14ac:dyDescent="0.3">
      <c r="A102" s="12">
        <v>260</v>
      </c>
      <c r="B102" s="13" t="s">
        <v>662</v>
      </c>
      <c r="C102" s="12" t="s">
        <v>663</v>
      </c>
      <c r="D102" s="12" t="s">
        <v>630</v>
      </c>
      <c r="E102" s="12" t="s">
        <v>664</v>
      </c>
      <c r="F102" s="12">
        <v>440</v>
      </c>
      <c r="G102" s="12" t="s">
        <v>65</v>
      </c>
      <c r="H102" s="12">
        <v>36</v>
      </c>
      <c r="I102" s="12">
        <v>24</v>
      </c>
      <c r="J102" s="12">
        <v>12</v>
      </c>
      <c r="K102" s="14">
        <v>45481</v>
      </c>
      <c r="L102" s="14">
        <v>46937</v>
      </c>
      <c r="M102" s="12">
        <v>1456</v>
      </c>
      <c r="N102" s="12">
        <v>260</v>
      </c>
      <c r="O102" s="12" t="s">
        <v>665</v>
      </c>
      <c r="P102" s="12" t="s">
        <v>28</v>
      </c>
    </row>
    <row r="103" spans="1:16" x14ac:dyDescent="0.3">
      <c r="A103" s="12">
        <v>186</v>
      </c>
      <c r="B103" s="13" t="s">
        <v>368</v>
      </c>
      <c r="C103" s="12" t="s">
        <v>369</v>
      </c>
      <c r="D103" s="12" t="s">
        <v>351</v>
      </c>
      <c r="E103" s="12" t="s">
        <v>370</v>
      </c>
      <c r="F103" s="12">
        <v>469</v>
      </c>
      <c r="G103" s="12" t="s">
        <v>32</v>
      </c>
      <c r="H103" s="12">
        <v>12</v>
      </c>
      <c r="I103" s="12">
        <v>9</v>
      </c>
      <c r="J103" s="12">
        <v>3</v>
      </c>
      <c r="K103" s="14">
        <v>45407</v>
      </c>
      <c r="L103" s="14">
        <v>46189</v>
      </c>
      <c r="M103" s="12">
        <v>782</v>
      </c>
      <c r="N103" s="12">
        <v>320</v>
      </c>
      <c r="O103" s="12" t="s">
        <v>371</v>
      </c>
      <c r="P103" s="12" t="s">
        <v>22</v>
      </c>
    </row>
    <row r="104" spans="1:16" x14ac:dyDescent="0.3">
      <c r="A104" s="12">
        <v>241</v>
      </c>
      <c r="B104" s="13" t="s">
        <v>586</v>
      </c>
      <c r="C104" s="12" t="s">
        <v>587</v>
      </c>
      <c r="D104" s="12" t="s">
        <v>567</v>
      </c>
      <c r="E104" s="12" t="s">
        <v>588</v>
      </c>
      <c r="F104" s="12">
        <v>938</v>
      </c>
      <c r="G104" s="12" t="s">
        <v>26</v>
      </c>
      <c r="H104" s="12">
        <v>11</v>
      </c>
      <c r="I104" s="12">
        <v>6</v>
      </c>
      <c r="J104" s="12">
        <v>5</v>
      </c>
      <c r="K104" s="14">
        <v>45462</v>
      </c>
      <c r="L104" s="14">
        <v>46751</v>
      </c>
      <c r="M104" s="12">
        <v>1289</v>
      </c>
      <c r="N104" s="12">
        <v>300</v>
      </c>
      <c r="O104" s="12" t="s">
        <v>589</v>
      </c>
      <c r="P104" s="12" t="s">
        <v>28</v>
      </c>
    </row>
    <row r="105" spans="1:16" x14ac:dyDescent="0.3">
      <c r="A105" s="12">
        <v>167</v>
      </c>
      <c r="B105" s="13" t="s">
        <v>295</v>
      </c>
      <c r="C105" s="12" t="s">
        <v>296</v>
      </c>
      <c r="D105" s="12" t="s">
        <v>271</v>
      </c>
      <c r="E105" s="12" t="s">
        <v>297</v>
      </c>
      <c r="F105" s="12">
        <v>708</v>
      </c>
      <c r="G105" s="12" t="s">
        <v>38</v>
      </c>
      <c r="H105" s="12">
        <v>31</v>
      </c>
      <c r="I105" s="12">
        <v>12</v>
      </c>
      <c r="J105" s="12">
        <v>19</v>
      </c>
      <c r="K105" s="14">
        <v>45388</v>
      </c>
      <c r="L105" s="14">
        <v>45996</v>
      </c>
      <c r="M105" s="12">
        <v>608</v>
      </c>
      <c r="N105" s="12">
        <v>200</v>
      </c>
      <c r="O105" s="12" t="s">
        <v>298</v>
      </c>
      <c r="P105" s="12" t="s">
        <v>28</v>
      </c>
    </row>
    <row r="106" spans="1:16" x14ac:dyDescent="0.3">
      <c r="A106" s="12">
        <v>208</v>
      </c>
      <c r="B106" s="13" t="s">
        <v>454</v>
      </c>
      <c r="C106" s="12" t="s">
        <v>455</v>
      </c>
      <c r="D106" s="12" t="s">
        <v>447</v>
      </c>
      <c r="E106" s="12" t="s">
        <v>456</v>
      </c>
      <c r="F106" s="12">
        <v>264</v>
      </c>
      <c r="G106" s="12" t="s">
        <v>32</v>
      </c>
      <c r="H106" s="12">
        <v>39</v>
      </c>
      <c r="I106" s="12">
        <v>26</v>
      </c>
      <c r="J106" s="12">
        <v>13</v>
      </c>
      <c r="K106" s="14">
        <v>45429</v>
      </c>
      <c r="L106" s="14">
        <v>46415</v>
      </c>
      <c r="M106" s="12">
        <v>986</v>
      </c>
      <c r="N106" s="12">
        <v>600</v>
      </c>
      <c r="O106" s="12" t="s">
        <v>457</v>
      </c>
      <c r="P106" s="12" t="s">
        <v>28</v>
      </c>
    </row>
    <row r="107" spans="1:16" x14ac:dyDescent="0.3">
      <c r="A107" s="12">
        <v>267</v>
      </c>
      <c r="B107" s="13" t="s">
        <v>691</v>
      </c>
      <c r="C107" s="12" t="s">
        <v>692</v>
      </c>
      <c r="D107" s="12" t="s">
        <v>688</v>
      </c>
      <c r="E107" s="12" t="s">
        <v>693</v>
      </c>
      <c r="F107" s="12">
        <v>948</v>
      </c>
      <c r="G107" s="12" t="s">
        <v>65</v>
      </c>
      <c r="H107" s="12">
        <v>29</v>
      </c>
      <c r="I107" s="12">
        <v>14</v>
      </c>
      <c r="J107" s="12">
        <v>15</v>
      </c>
      <c r="K107" s="14">
        <v>45488</v>
      </c>
      <c r="L107" s="14">
        <v>47013</v>
      </c>
      <c r="M107" s="12">
        <v>1525</v>
      </c>
      <c r="N107" s="12">
        <v>400</v>
      </c>
      <c r="O107" s="12" t="s">
        <v>694</v>
      </c>
      <c r="P107" s="12" t="s">
        <v>28</v>
      </c>
    </row>
    <row r="108" spans="1:16" x14ac:dyDescent="0.3">
      <c r="A108" s="12">
        <v>247</v>
      </c>
      <c r="B108" s="13" t="s">
        <v>611</v>
      </c>
      <c r="C108" s="12" t="s">
        <v>612</v>
      </c>
      <c r="D108" s="12" t="s">
        <v>608</v>
      </c>
      <c r="E108" s="12" t="s">
        <v>613</v>
      </c>
      <c r="F108" s="12">
        <v>417</v>
      </c>
      <c r="G108" s="12" t="s">
        <v>32</v>
      </c>
      <c r="H108" s="12">
        <v>49</v>
      </c>
      <c r="I108" s="12">
        <v>34</v>
      </c>
      <c r="J108" s="12">
        <v>15</v>
      </c>
      <c r="K108" s="14">
        <v>45468</v>
      </c>
      <c r="L108" s="14">
        <v>46812</v>
      </c>
      <c r="M108" s="12">
        <v>1344</v>
      </c>
      <c r="N108" s="12">
        <v>420</v>
      </c>
      <c r="O108" s="12" t="s">
        <v>614</v>
      </c>
      <c r="P108" s="12" t="s">
        <v>28</v>
      </c>
    </row>
    <row r="109" spans="1:16" x14ac:dyDescent="0.3">
      <c r="A109" s="12">
        <v>237</v>
      </c>
      <c r="B109" s="13" t="s">
        <v>570</v>
      </c>
      <c r="C109" s="12" t="s">
        <v>571</v>
      </c>
      <c r="D109" s="12" t="s">
        <v>567</v>
      </c>
      <c r="E109" s="12" t="s">
        <v>572</v>
      </c>
      <c r="F109" s="12">
        <v>298</v>
      </c>
      <c r="G109" s="12" t="s">
        <v>32</v>
      </c>
      <c r="H109" s="12">
        <v>10</v>
      </c>
      <c r="I109" s="12">
        <v>7</v>
      </c>
      <c r="J109" s="12">
        <v>3</v>
      </c>
      <c r="K109" s="14">
        <v>45458</v>
      </c>
      <c r="L109" s="14">
        <v>46708</v>
      </c>
      <c r="M109" s="12">
        <v>1250</v>
      </c>
      <c r="N109" s="12">
        <v>220</v>
      </c>
      <c r="O109" s="12" t="s">
        <v>573</v>
      </c>
      <c r="P109" s="12" t="s">
        <v>28</v>
      </c>
    </row>
    <row r="110" spans="1:16" x14ac:dyDescent="0.3">
      <c r="A110" s="12">
        <v>158</v>
      </c>
      <c r="B110" s="13" t="s">
        <v>259</v>
      </c>
      <c r="C110" s="12" t="s">
        <v>260</v>
      </c>
      <c r="D110" s="12" t="s">
        <v>232</v>
      </c>
      <c r="E110" s="12" t="s">
        <v>261</v>
      </c>
      <c r="F110" s="12">
        <v>441</v>
      </c>
      <c r="G110" s="12" t="s">
        <v>65</v>
      </c>
      <c r="H110" s="12">
        <v>40</v>
      </c>
      <c r="I110" s="12">
        <v>27</v>
      </c>
      <c r="J110" s="12">
        <v>13</v>
      </c>
      <c r="K110" s="14">
        <v>45379</v>
      </c>
      <c r="L110" s="14">
        <v>45905</v>
      </c>
      <c r="M110" s="12">
        <v>526</v>
      </c>
      <c r="N110" s="12">
        <v>180</v>
      </c>
      <c r="O110" s="12" t="s">
        <v>262</v>
      </c>
      <c r="P110" s="12" t="s">
        <v>22</v>
      </c>
    </row>
    <row r="111" spans="1:16" x14ac:dyDescent="0.3">
      <c r="A111" s="12">
        <v>289</v>
      </c>
      <c r="B111" s="13" t="s">
        <v>776</v>
      </c>
      <c r="C111" s="12" t="s">
        <v>777</v>
      </c>
      <c r="D111" s="12" t="s">
        <v>765</v>
      </c>
      <c r="E111" s="12" t="s">
        <v>778</v>
      </c>
      <c r="F111" s="12">
        <v>530</v>
      </c>
      <c r="G111" s="12" t="s">
        <v>65</v>
      </c>
      <c r="H111" s="12">
        <v>11</v>
      </c>
      <c r="I111" s="12">
        <v>6</v>
      </c>
      <c r="J111" s="12">
        <v>5</v>
      </c>
      <c r="K111" s="14">
        <v>45329</v>
      </c>
      <c r="L111" s="14">
        <v>45401</v>
      </c>
      <c r="M111" s="12">
        <v>72</v>
      </c>
      <c r="N111" s="12">
        <v>400</v>
      </c>
      <c r="O111" s="12" t="s">
        <v>779</v>
      </c>
      <c r="P111" s="12" t="s">
        <v>28</v>
      </c>
    </row>
    <row r="112" spans="1:16" x14ac:dyDescent="0.3">
      <c r="A112" s="12">
        <v>154</v>
      </c>
      <c r="B112" s="13" t="s">
        <v>243</v>
      </c>
      <c r="C112" s="12" t="s">
        <v>244</v>
      </c>
      <c r="D112" s="12" t="s">
        <v>232</v>
      </c>
      <c r="E112" s="12" t="s">
        <v>245</v>
      </c>
      <c r="F112" s="12">
        <v>587</v>
      </c>
      <c r="G112" s="12" t="s">
        <v>20</v>
      </c>
      <c r="H112" s="12">
        <v>44</v>
      </c>
      <c r="I112" s="12">
        <v>33</v>
      </c>
      <c r="J112" s="12">
        <v>11</v>
      </c>
      <c r="K112" s="14">
        <v>45375</v>
      </c>
      <c r="L112" s="14">
        <v>45868</v>
      </c>
      <c r="M112" s="12">
        <v>493</v>
      </c>
      <c r="N112" s="12">
        <v>300</v>
      </c>
      <c r="O112" s="12" t="s">
        <v>246</v>
      </c>
      <c r="P112" s="12" t="s">
        <v>28</v>
      </c>
    </row>
    <row r="113" spans="1:16" x14ac:dyDescent="0.3">
      <c r="A113" s="12">
        <v>265</v>
      </c>
      <c r="B113" s="13" t="s">
        <v>682</v>
      </c>
      <c r="C113" s="12" t="s">
        <v>683</v>
      </c>
      <c r="D113" s="12" t="s">
        <v>668</v>
      </c>
      <c r="E113" s="12" t="s">
        <v>684</v>
      </c>
      <c r="F113" s="12">
        <v>606</v>
      </c>
      <c r="G113" s="12" t="s">
        <v>65</v>
      </c>
      <c r="H113" s="12">
        <v>31</v>
      </c>
      <c r="I113" s="12">
        <v>16</v>
      </c>
      <c r="J113" s="12">
        <v>15</v>
      </c>
      <c r="K113" s="14">
        <v>45486</v>
      </c>
      <c r="L113" s="14">
        <v>46994</v>
      </c>
      <c r="M113" s="12">
        <v>1508</v>
      </c>
      <c r="N113" s="12">
        <v>360</v>
      </c>
      <c r="O113" s="12" t="s">
        <v>685</v>
      </c>
      <c r="P113" s="12" t="s">
        <v>28</v>
      </c>
    </row>
    <row r="114" spans="1:16" x14ac:dyDescent="0.3">
      <c r="A114" s="12">
        <v>220</v>
      </c>
      <c r="B114" s="13" t="s">
        <v>501</v>
      </c>
      <c r="C114" s="12" t="s">
        <v>502</v>
      </c>
      <c r="D114" s="12" t="s">
        <v>447</v>
      </c>
      <c r="E114" s="12" t="s">
        <v>503</v>
      </c>
      <c r="F114" s="12">
        <v>618</v>
      </c>
      <c r="G114" s="12" t="s">
        <v>38</v>
      </c>
      <c r="H114" s="12">
        <v>27</v>
      </c>
      <c r="I114" s="12">
        <v>18</v>
      </c>
      <c r="J114" s="12">
        <v>9</v>
      </c>
      <c r="K114" s="14">
        <v>45441</v>
      </c>
      <c r="L114" s="14">
        <v>46537</v>
      </c>
      <c r="M114" s="12">
        <v>1096</v>
      </c>
      <c r="N114" s="12">
        <v>280</v>
      </c>
      <c r="O114" s="12" t="s">
        <v>504</v>
      </c>
      <c r="P114" s="12" t="s">
        <v>34</v>
      </c>
    </row>
    <row r="115" spans="1:16" x14ac:dyDescent="0.3">
      <c r="A115" s="12">
        <v>269</v>
      </c>
      <c r="B115" s="13" t="s">
        <v>699</v>
      </c>
      <c r="C115" s="12" t="s">
        <v>700</v>
      </c>
      <c r="D115" s="12" t="s">
        <v>688</v>
      </c>
      <c r="E115" s="12" t="s">
        <v>701</v>
      </c>
      <c r="F115" s="12">
        <v>370</v>
      </c>
      <c r="G115" s="12" t="s">
        <v>32</v>
      </c>
      <c r="H115" s="12">
        <v>27</v>
      </c>
      <c r="I115" s="12">
        <v>12</v>
      </c>
      <c r="J115" s="12">
        <v>15</v>
      </c>
      <c r="K115" s="14">
        <v>45490</v>
      </c>
      <c r="L115" s="14">
        <v>47029</v>
      </c>
      <c r="M115" s="12">
        <v>1539</v>
      </c>
      <c r="N115" s="12">
        <v>440</v>
      </c>
      <c r="O115" s="12" t="s">
        <v>702</v>
      </c>
      <c r="P115" s="12" t="s">
        <v>28</v>
      </c>
    </row>
    <row r="116" spans="1:16" x14ac:dyDescent="0.3">
      <c r="A116" s="12">
        <v>249</v>
      </c>
      <c r="B116" s="13" t="s">
        <v>618</v>
      </c>
      <c r="C116" s="12" t="s">
        <v>619</v>
      </c>
      <c r="D116" s="12" t="s">
        <v>608</v>
      </c>
      <c r="E116" s="12" t="s">
        <v>620</v>
      </c>
      <c r="F116" s="12">
        <v>966</v>
      </c>
      <c r="G116" s="12" t="s">
        <v>38</v>
      </c>
      <c r="H116" s="12">
        <v>47</v>
      </c>
      <c r="I116" s="12">
        <v>32</v>
      </c>
      <c r="J116" s="12">
        <v>15</v>
      </c>
      <c r="K116" s="14">
        <v>45470</v>
      </c>
      <c r="L116" s="14">
        <v>46828</v>
      </c>
      <c r="M116" s="12">
        <v>1358</v>
      </c>
      <c r="N116" s="12">
        <v>460</v>
      </c>
      <c r="O116" s="12" t="s">
        <v>621</v>
      </c>
      <c r="P116" s="12" t="s">
        <v>28</v>
      </c>
    </row>
    <row r="117" spans="1:16" x14ac:dyDescent="0.3">
      <c r="A117" s="12">
        <v>122</v>
      </c>
      <c r="B117" s="13" t="s">
        <v>112</v>
      </c>
      <c r="C117" s="12" t="s">
        <v>113</v>
      </c>
      <c r="D117" s="12" t="s">
        <v>18</v>
      </c>
      <c r="E117" s="12" t="s">
        <v>114</v>
      </c>
      <c r="F117" s="12">
        <v>543</v>
      </c>
      <c r="G117" s="12" t="s">
        <v>32</v>
      </c>
      <c r="H117" s="12">
        <v>36</v>
      </c>
      <c r="I117" s="12">
        <v>26</v>
      </c>
      <c r="J117" s="12">
        <v>10</v>
      </c>
      <c r="K117" s="14">
        <v>45343</v>
      </c>
      <c r="L117" s="14">
        <v>45541</v>
      </c>
      <c r="M117" s="12">
        <v>198</v>
      </c>
      <c r="N117" s="12">
        <v>520</v>
      </c>
      <c r="O117" s="12" t="s">
        <v>115</v>
      </c>
      <c r="P117" s="12" t="s">
        <v>34</v>
      </c>
    </row>
    <row r="118" spans="1:16" x14ac:dyDescent="0.3">
      <c r="A118" s="12">
        <v>280</v>
      </c>
      <c r="B118" s="13" t="s">
        <v>739</v>
      </c>
      <c r="C118" s="12" t="s">
        <v>740</v>
      </c>
      <c r="D118" s="12" t="s">
        <v>727</v>
      </c>
      <c r="E118" s="12" t="s">
        <v>741</v>
      </c>
      <c r="F118" s="12">
        <v>756</v>
      </c>
      <c r="G118" s="12" t="s">
        <v>65</v>
      </c>
      <c r="H118" s="12">
        <v>16</v>
      </c>
      <c r="I118" s="12">
        <v>1</v>
      </c>
      <c r="J118" s="12">
        <v>15</v>
      </c>
      <c r="K118" s="14">
        <v>45874</v>
      </c>
      <c r="L118" s="14">
        <v>45885</v>
      </c>
      <c r="M118" s="12">
        <v>11</v>
      </c>
      <c r="N118" s="12">
        <v>220</v>
      </c>
      <c r="O118" s="12" t="s">
        <v>742</v>
      </c>
      <c r="P118" s="12" t="s">
        <v>28</v>
      </c>
    </row>
    <row r="119" spans="1:16" x14ac:dyDescent="0.3">
      <c r="A119" s="12">
        <v>230</v>
      </c>
      <c r="B119" s="13" t="s">
        <v>541</v>
      </c>
      <c r="C119" s="12" t="s">
        <v>542</v>
      </c>
      <c r="D119" s="12" t="s">
        <v>526</v>
      </c>
      <c r="E119" s="12" t="s">
        <v>543</v>
      </c>
      <c r="F119" s="12">
        <v>979</v>
      </c>
      <c r="G119" s="12" t="s">
        <v>26</v>
      </c>
      <c r="H119" s="12">
        <v>17</v>
      </c>
      <c r="I119" s="12">
        <v>1</v>
      </c>
      <c r="J119" s="12">
        <v>16</v>
      </c>
      <c r="K119" s="14">
        <v>45451</v>
      </c>
      <c r="L119" s="14">
        <v>46635</v>
      </c>
      <c r="M119" s="12">
        <v>1184</v>
      </c>
      <c r="N119" s="12">
        <v>480</v>
      </c>
      <c r="O119" s="12" t="s">
        <v>544</v>
      </c>
      <c r="P119" s="12" t="s">
        <v>28</v>
      </c>
    </row>
    <row r="120" spans="1:16" x14ac:dyDescent="0.3">
      <c r="A120" s="12">
        <v>114</v>
      </c>
      <c r="B120" s="13" t="s">
        <v>79</v>
      </c>
      <c r="C120" s="12" t="s">
        <v>80</v>
      </c>
      <c r="D120" s="12" t="s">
        <v>18</v>
      </c>
      <c r="E120" s="12" t="s">
        <v>81</v>
      </c>
      <c r="F120" s="12">
        <v>287</v>
      </c>
      <c r="G120" s="12" t="s">
        <v>20</v>
      </c>
      <c r="H120" s="12">
        <v>30</v>
      </c>
      <c r="I120" s="12">
        <v>11</v>
      </c>
      <c r="J120" s="12">
        <v>19</v>
      </c>
      <c r="K120" s="14">
        <v>45335</v>
      </c>
      <c r="L120" s="14">
        <v>45457</v>
      </c>
      <c r="M120" s="12">
        <v>122</v>
      </c>
      <c r="N120" s="12">
        <v>110</v>
      </c>
      <c r="O120" s="12" t="s">
        <v>82</v>
      </c>
      <c r="P120" s="12" t="s">
        <v>28</v>
      </c>
    </row>
    <row r="121" spans="1:16" x14ac:dyDescent="0.3">
      <c r="A121" s="12">
        <v>261</v>
      </c>
      <c r="B121" s="13" t="s">
        <v>666</v>
      </c>
      <c r="C121" s="12" t="s">
        <v>667</v>
      </c>
      <c r="D121" s="12" t="s">
        <v>668</v>
      </c>
      <c r="E121" s="12" t="s">
        <v>669</v>
      </c>
      <c r="F121" s="12">
        <v>763</v>
      </c>
      <c r="G121" s="12" t="s">
        <v>38</v>
      </c>
      <c r="H121" s="12">
        <v>35</v>
      </c>
      <c r="I121" s="12">
        <v>20</v>
      </c>
      <c r="J121" s="12">
        <v>15</v>
      </c>
      <c r="K121" s="14">
        <v>45482</v>
      </c>
      <c r="L121" s="14">
        <v>46951</v>
      </c>
      <c r="M121" s="12">
        <v>1469</v>
      </c>
      <c r="N121" s="12">
        <v>280</v>
      </c>
      <c r="O121" s="12" t="s">
        <v>670</v>
      </c>
      <c r="P121" s="12" t="s">
        <v>28</v>
      </c>
    </row>
    <row r="122" spans="1:16" x14ac:dyDescent="0.3">
      <c r="A122" s="12">
        <v>282</v>
      </c>
      <c r="B122" s="13" t="s">
        <v>747</v>
      </c>
      <c r="C122" s="12" t="s">
        <v>748</v>
      </c>
      <c r="D122" s="12" t="s">
        <v>727</v>
      </c>
      <c r="E122" s="12" t="s">
        <v>749</v>
      </c>
      <c r="F122" s="12">
        <v>845</v>
      </c>
      <c r="G122" s="12" t="s">
        <v>20</v>
      </c>
      <c r="H122" s="12">
        <v>14</v>
      </c>
      <c r="I122" s="12">
        <v>2</v>
      </c>
      <c r="J122" s="12">
        <v>12</v>
      </c>
      <c r="K122" s="14">
        <v>45872</v>
      </c>
      <c r="L122" s="14">
        <v>45893</v>
      </c>
      <c r="M122" s="12">
        <v>21</v>
      </c>
      <c r="N122" s="12">
        <v>260</v>
      </c>
      <c r="O122" s="12" t="s">
        <v>750</v>
      </c>
      <c r="P122" s="12" t="s">
        <v>28</v>
      </c>
    </row>
    <row r="123" spans="1:16" x14ac:dyDescent="0.3">
      <c r="A123" s="12">
        <v>131</v>
      </c>
      <c r="B123" s="13" t="s">
        <v>149</v>
      </c>
      <c r="C123" s="12" t="s">
        <v>150</v>
      </c>
      <c r="D123" s="12" t="s">
        <v>138</v>
      </c>
      <c r="E123" s="12" t="s">
        <v>151</v>
      </c>
      <c r="F123" s="12">
        <v>221</v>
      </c>
      <c r="G123" s="12" t="s">
        <v>26</v>
      </c>
      <c r="H123" s="12">
        <v>19</v>
      </c>
      <c r="I123" s="12">
        <v>10</v>
      </c>
      <c r="J123" s="12">
        <v>9</v>
      </c>
      <c r="K123" s="14">
        <v>45352</v>
      </c>
      <c r="L123" s="14">
        <v>45631</v>
      </c>
      <c r="M123" s="12">
        <v>279</v>
      </c>
      <c r="N123" s="12">
        <v>100</v>
      </c>
      <c r="O123" s="12" t="s">
        <v>152</v>
      </c>
      <c r="P123" s="12" t="s">
        <v>34</v>
      </c>
    </row>
    <row r="124" spans="1:16" x14ac:dyDescent="0.3">
      <c r="A124" s="12">
        <v>253</v>
      </c>
      <c r="B124" s="13" t="s">
        <v>634</v>
      </c>
      <c r="C124" s="12" t="s">
        <v>635</v>
      </c>
      <c r="D124" s="12" t="s">
        <v>606</v>
      </c>
      <c r="E124" s="12" t="s">
        <v>636</v>
      </c>
      <c r="F124" s="12">
        <v>406</v>
      </c>
      <c r="G124" s="12" t="s">
        <v>26</v>
      </c>
      <c r="H124" s="12">
        <v>43</v>
      </c>
      <c r="I124" s="12">
        <v>28</v>
      </c>
      <c r="J124" s="12">
        <v>15</v>
      </c>
      <c r="K124" s="14">
        <v>45474</v>
      </c>
      <c r="L124" s="14">
        <v>46872</v>
      </c>
      <c r="M124" s="12">
        <v>1398</v>
      </c>
      <c r="N124" s="12">
        <v>120</v>
      </c>
      <c r="O124" s="12" t="s">
        <v>637</v>
      </c>
      <c r="P124" s="12" t="s">
        <v>22</v>
      </c>
    </row>
    <row r="125" spans="1:16" x14ac:dyDescent="0.3">
      <c r="A125" s="12">
        <v>276</v>
      </c>
      <c r="B125" s="13" t="s">
        <v>726</v>
      </c>
      <c r="C125" s="12" t="s">
        <v>538</v>
      </c>
      <c r="D125" s="12" t="s">
        <v>727</v>
      </c>
      <c r="E125" s="12" t="s">
        <v>728</v>
      </c>
      <c r="F125" s="12">
        <v>285</v>
      </c>
      <c r="G125" s="12" t="s">
        <v>65</v>
      </c>
      <c r="H125" s="12">
        <v>20</v>
      </c>
      <c r="I125" s="12">
        <v>6</v>
      </c>
      <c r="J125" s="12">
        <v>14</v>
      </c>
      <c r="K125" s="14">
        <v>45878</v>
      </c>
      <c r="L125" s="14">
        <v>47105</v>
      </c>
      <c r="M125" s="12">
        <v>1227</v>
      </c>
      <c r="N125" s="12">
        <v>140</v>
      </c>
      <c r="O125" s="12" t="s">
        <v>729</v>
      </c>
      <c r="P125" s="12" t="s">
        <v>28</v>
      </c>
    </row>
    <row r="126" spans="1:16" x14ac:dyDescent="0.3">
      <c r="A126" s="12">
        <v>188</v>
      </c>
      <c r="B126" s="13" t="s">
        <v>376</v>
      </c>
      <c r="C126" s="12" t="s">
        <v>377</v>
      </c>
      <c r="D126" s="12" t="s">
        <v>351</v>
      </c>
      <c r="E126" s="12" t="s">
        <v>378</v>
      </c>
      <c r="F126" s="12">
        <v>655</v>
      </c>
      <c r="G126" s="12" t="s">
        <v>38</v>
      </c>
      <c r="H126" s="12">
        <v>11</v>
      </c>
      <c r="I126" s="12">
        <v>10</v>
      </c>
      <c r="J126" s="12">
        <v>1</v>
      </c>
      <c r="K126" s="14">
        <v>45409</v>
      </c>
      <c r="L126" s="14">
        <v>46206</v>
      </c>
      <c r="M126" s="12">
        <v>797</v>
      </c>
      <c r="N126" s="12">
        <v>200</v>
      </c>
      <c r="O126" s="12" t="s">
        <v>379</v>
      </c>
      <c r="P126" s="12" t="s">
        <v>34</v>
      </c>
    </row>
    <row r="127" spans="1:16" x14ac:dyDescent="0.3">
      <c r="A127" s="12">
        <v>110</v>
      </c>
      <c r="B127" s="13" t="s">
        <v>62</v>
      </c>
      <c r="C127" s="12" t="s">
        <v>63</v>
      </c>
      <c r="D127" s="12" t="s">
        <v>18</v>
      </c>
      <c r="E127" s="12" t="s">
        <v>64</v>
      </c>
      <c r="F127" s="12">
        <v>666</v>
      </c>
      <c r="G127" s="12" t="s">
        <v>65</v>
      </c>
      <c r="H127" s="12">
        <v>47</v>
      </c>
      <c r="I127" s="12">
        <v>30</v>
      </c>
      <c r="J127" s="12">
        <v>17</v>
      </c>
      <c r="K127" s="14">
        <v>45331</v>
      </c>
      <c r="L127" s="14">
        <v>45416</v>
      </c>
      <c r="M127" s="12">
        <v>85</v>
      </c>
      <c r="N127" s="12">
        <v>600</v>
      </c>
      <c r="O127" s="12" t="s">
        <v>66</v>
      </c>
      <c r="P127" s="12" t="s">
        <v>28</v>
      </c>
    </row>
    <row r="128" spans="1:16" x14ac:dyDescent="0.3">
      <c r="A128" s="12">
        <v>203</v>
      </c>
      <c r="B128" s="13" t="s">
        <v>433</v>
      </c>
      <c r="C128" s="12" t="s">
        <v>434</v>
      </c>
      <c r="D128" s="12" t="s">
        <v>425</v>
      </c>
      <c r="E128" s="12" t="s">
        <v>435</v>
      </c>
      <c r="F128" s="12">
        <v>579</v>
      </c>
      <c r="G128" s="12" t="s">
        <v>65</v>
      </c>
      <c r="H128" s="12">
        <v>44</v>
      </c>
      <c r="I128" s="12">
        <v>34</v>
      </c>
      <c r="J128" s="12">
        <v>10</v>
      </c>
      <c r="K128" s="14">
        <v>45424</v>
      </c>
      <c r="L128" s="14">
        <v>46361</v>
      </c>
      <c r="M128" s="12">
        <v>937</v>
      </c>
      <c r="N128" s="12">
        <v>160</v>
      </c>
      <c r="O128" s="12" t="s">
        <v>436</v>
      </c>
      <c r="P128" s="12" t="s">
        <v>34</v>
      </c>
    </row>
    <row r="129" spans="1:16" x14ac:dyDescent="0.3">
      <c r="A129" s="12">
        <v>205</v>
      </c>
      <c r="B129" s="13" t="s">
        <v>441</v>
      </c>
      <c r="C129" s="12" t="s">
        <v>442</v>
      </c>
      <c r="D129" s="12" t="s">
        <v>425</v>
      </c>
      <c r="E129" s="12" t="s">
        <v>443</v>
      </c>
      <c r="F129" s="12">
        <v>240</v>
      </c>
      <c r="G129" s="12" t="s">
        <v>65</v>
      </c>
      <c r="H129" s="12">
        <v>42</v>
      </c>
      <c r="I129" s="12">
        <v>34</v>
      </c>
      <c r="J129" s="12">
        <v>8</v>
      </c>
      <c r="K129" s="14">
        <v>45426</v>
      </c>
      <c r="L129" s="14">
        <v>46386</v>
      </c>
      <c r="M129" s="12">
        <v>960</v>
      </c>
      <c r="N129" s="12">
        <v>120</v>
      </c>
      <c r="O129" s="12" t="s">
        <v>444</v>
      </c>
      <c r="P129" s="12" t="s">
        <v>28</v>
      </c>
    </row>
    <row r="130" spans="1:16" x14ac:dyDescent="0.3">
      <c r="A130" s="12">
        <v>187</v>
      </c>
      <c r="B130" s="13" t="s">
        <v>372</v>
      </c>
      <c r="C130" s="12" t="s">
        <v>373</v>
      </c>
      <c r="D130" s="12" t="s">
        <v>351</v>
      </c>
      <c r="E130" s="12" t="s">
        <v>374</v>
      </c>
      <c r="F130" s="12">
        <v>470</v>
      </c>
      <c r="G130" s="12" t="s">
        <v>32</v>
      </c>
      <c r="H130" s="12">
        <v>11</v>
      </c>
      <c r="I130" s="12">
        <v>10</v>
      </c>
      <c r="J130" s="12">
        <v>1</v>
      </c>
      <c r="K130" s="14">
        <v>45408</v>
      </c>
      <c r="L130" s="14">
        <v>46201</v>
      </c>
      <c r="M130" s="12">
        <v>793</v>
      </c>
      <c r="N130" s="12">
        <v>180</v>
      </c>
      <c r="O130" s="12" t="s">
        <v>375</v>
      </c>
      <c r="P130" s="12" t="s">
        <v>34</v>
      </c>
    </row>
    <row r="131" spans="1:16" x14ac:dyDescent="0.3">
      <c r="A131" s="12">
        <v>210</v>
      </c>
      <c r="B131" s="13" t="s">
        <v>462</v>
      </c>
      <c r="C131" s="12" t="s">
        <v>463</v>
      </c>
      <c r="D131" s="12" t="s">
        <v>447</v>
      </c>
      <c r="E131" s="12" t="s">
        <v>464</v>
      </c>
      <c r="F131" s="12">
        <v>543</v>
      </c>
      <c r="G131" s="12" t="s">
        <v>32</v>
      </c>
      <c r="H131" s="12">
        <v>37</v>
      </c>
      <c r="I131" s="12">
        <v>20</v>
      </c>
      <c r="J131" s="12">
        <v>17</v>
      </c>
      <c r="K131" s="14">
        <v>45431</v>
      </c>
      <c r="L131" s="14">
        <v>46435</v>
      </c>
      <c r="M131" s="12">
        <v>1004</v>
      </c>
      <c r="N131" s="12">
        <v>200</v>
      </c>
      <c r="O131" s="12" t="s">
        <v>465</v>
      </c>
      <c r="P131" s="12" t="s">
        <v>28</v>
      </c>
    </row>
    <row r="132" spans="1:16" x14ac:dyDescent="0.3">
      <c r="A132" s="12">
        <v>294</v>
      </c>
      <c r="B132" s="13" t="s">
        <v>796</v>
      </c>
      <c r="C132" s="12" t="s">
        <v>797</v>
      </c>
      <c r="D132" s="12" t="s">
        <v>765</v>
      </c>
      <c r="E132" s="12" t="s">
        <v>798</v>
      </c>
      <c r="F132" s="12">
        <v>430</v>
      </c>
      <c r="G132" s="12" t="s">
        <v>26</v>
      </c>
      <c r="H132" s="12">
        <v>11</v>
      </c>
      <c r="I132" s="12">
        <v>6</v>
      </c>
      <c r="J132" s="12">
        <v>5</v>
      </c>
      <c r="K132" s="14">
        <v>45334</v>
      </c>
      <c r="L132" s="14">
        <v>45445</v>
      </c>
      <c r="M132" s="12">
        <v>111</v>
      </c>
      <c r="N132" s="12">
        <v>400</v>
      </c>
      <c r="O132" s="12" t="s">
        <v>799</v>
      </c>
      <c r="P132" s="12" t="s">
        <v>28</v>
      </c>
    </row>
    <row r="133" spans="1:16" x14ac:dyDescent="0.3">
      <c r="A133" s="12">
        <v>190</v>
      </c>
      <c r="B133" s="13" t="s">
        <v>384</v>
      </c>
      <c r="C133" s="12" t="s">
        <v>385</v>
      </c>
      <c r="D133" s="12" t="s">
        <v>351</v>
      </c>
      <c r="E133" s="12" t="s">
        <v>386</v>
      </c>
      <c r="F133" s="12">
        <v>926</v>
      </c>
      <c r="G133" s="12" t="s">
        <v>38</v>
      </c>
      <c r="H133" s="12">
        <v>13</v>
      </c>
      <c r="I133" s="12">
        <v>8</v>
      </c>
      <c r="J133" s="12">
        <v>5</v>
      </c>
      <c r="K133" s="14">
        <v>45411</v>
      </c>
      <c r="L133" s="14">
        <v>46233</v>
      </c>
      <c r="M133" s="12">
        <v>822</v>
      </c>
      <c r="N133" s="12">
        <v>120</v>
      </c>
      <c r="O133" s="12" t="s">
        <v>387</v>
      </c>
      <c r="P133" s="12" t="s">
        <v>28</v>
      </c>
    </row>
    <row r="134" spans="1:16" x14ac:dyDescent="0.3">
      <c r="A134" s="12">
        <v>244</v>
      </c>
      <c r="B134" s="13" t="s">
        <v>598</v>
      </c>
      <c r="C134" s="12" t="s">
        <v>599</v>
      </c>
      <c r="D134" s="12" t="s">
        <v>567</v>
      </c>
      <c r="E134" s="12" t="s">
        <v>600</v>
      </c>
      <c r="F134" s="12">
        <v>842</v>
      </c>
      <c r="G134" s="12" t="s">
        <v>32</v>
      </c>
      <c r="H134" s="12">
        <v>14</v>
      </c>
      <c r="I134" s="12">
        <v>3</v>
      </c>
      <c r="J134" s="12">
        <v>11</v>
      </c>
      <c r="K134" s="14">
        <v>45465</v>
      </c>
      <c r="L134" s="14">
        <v>46780</v>
      </c>
      <c r="M134" s="12">
        <v>1315</v>
      </c>
      <c r="N134" s="12">
        <v>360</v>
      </c>
      <c r="O134" s="12" t="s">
        <v>601</v>
      </c>
      <c r="P134" s="12" t="s">
        <v>34</v>
      </c>
    </row>
    <row r="135" spans="1:16" x14ac:dyDescent="0.3">
      <c r="A135" s="12">
        <v>166</v>
      </c>
      <c r="B135" s="13" t="s">
        <v>291</v>
      </c>
      <c r="C135" s="12" t="s">
        <v>292</v>
      </c>
      <c r="D135" s="12" t="s">
        <v>271</v>
      </c>
      <c r="E135" s="12" t="s">
        <v>293</v>
      </c>
      <c r="F135" s="12">
        <v>627</v>
      </c>
      <c r="G135" s="12" t="s">
        <v>32</v>
      </c>
      <c r="H135" s="12">
        <v>32</v>
      </c>
      <c r="I135" s="12">
        <v>14</v>
      </c>
      <c r="J135" s="12">
        <v>18</v>
      </c>
      <c r="K135" s="14">
        <v>45387</v>
      </c>
      <c r="L135" s="14">
        <v>45989</v>
      </c>
      <c r="M135" s="12">
        <v>602</v>
      </c>
      <c r="N135" s="12">
        <v>260</v>
      </c>
      <c r="O135" s="12" t="s">
        <v>294</v>
      </c>
      <c r="P135" s="12" t="s">
        <v>34</v>
      </c>
    </row>
    <row r="136" spans="1:16" x14ac:dyDescent="0.3">
      <c r="A136" s="12">
        <v>202</v>
      </c>
      <c r="B136" s="13" t="s">
        <v>429</v>
      </c>
      <c r="C136" s="12" t="s">
        <v>430</v>
      </c>
      <c r="D136" s="12" t="s">
        <v>425</v>
      </c>
      <c r="E136" s="12" t="s">
        <v>431</v>
      </c>
      <c r="F136" s="12">
        <v>387</v>
      </c>
      <c r="G136" s="12" t="s">
        <v>26</v>
      </c>
      <c r="H136" s="12">
        <v>45</v>
      </c>
      <c r="I136" s="12">
        <v>29</v>
      </c>
      <c r="J136" s="12">
        <v>16</v>
      </c>
      <c r="K136" s="14">
        <v>45423</v>
      </c>
      <c r="L136" s="14">
        <v>46355</v>
      </c>
      <c r="M136" s="12">
        <v>932</v>
      </c>
      <c r="N136" s="12">
        <v>180</v>
      </c>
      <c r="O136" s="12" t="s">
        <v>432</v>
      </c>
      <c r="P136" s="12" t="s">
        <v>22</v>
      </c>
    </row>
    <row r="137" spans="1:16" x14ac:dyDescent="0.3">
      <c r="A137" s="12">
        <v>126</v>
      </c>
      <c r="B137" s="13" t="s">
        <v>128</v>
      </c>
      <c r="C137" s="12" t="s">
        <v>129</v>
      </c>
      <c r="D137" s="12" t="s">
        <v>18</v>
      </c>
      <c r="E137" s="12" t="s">
        <v>130</v>
      </c>
      <c r="F137" s="12">
        <v>391</v>
      </c>
      <c r="G137" s="12" t="s">
        <v>38</v>
      </c>
      <c r="H137" s="12">
        <v>22</v>
      </c>
      <c r="I137" s="12">
        <v>7</v>
      </c>
      <c r="J137" s="12">
        <v>15</v>
      </c>
      <c r="K137" s="14">
        <v>45347</v>
      </c>
      <c r="L137" s="14">
        <v>45582</v>
      </c>
      <c r="M137" s="12">
        <v>235</v>
      </c>
      <c r="N137" s="12">
        <v>140</v>
      </c>
      <c r="O137" s="12" t="s">
        <v>131</v>
      </c>
      <c r="P137" s="12" t="s">
        <v>34</v>
      </c>
    </row>
    <row r="138" spans="1:16" x14ac:dyDescent="0.3">
      <c r="A138" s="12">
        <v>118</v>
      </c>
      <c r="B138" s="13" t="s">
        <v>95</v>
      </c>
      <c r="C138" s="12" t="s">
        <v>96</v>
      </c>
      <c r="D138" s="12" t="s">
        <v>18</v>
      </c>
      <c r="E138" s="12" t="s">
        <v>97</v>
      </c>
      <c r="F138" s="12">
        <v>330</v>
      </c>
      <c r="G138" s="12" t="s">
        <v>20</v>
      </c>
      <c r="H138" s="12">
        <v>43</v>
      </c>
      <c r="I138" s="12">
        <v>20</v>
      </c>
      <c r="J138" s="12">
        <v>23</v>
      </c>
      <c r="K138" s="14">
        <v>45339</v>
      </c>
      <c r="L138" s="14">
        <v>45504</v>
      </c>
      <c r="M138" s="12">
        <v>165</v>
      </c>
      <c r="N138" s="12">
        <v>400</v>
      </c>
      <c r="O138" s="12" t="s">
        <v>98</v>
      </c>
      <c r="P138" s="12" t="s">
        <v>22</v>
      </c>
    </row>
    <row r="139" spans="1:16" x14ac:dyDescent="0.3">
      <c r="A139" s="12">
        <v>245</v>
      </c>
      <c r="B139" s="13" t="s">
        <v>602</v>
      </c>
      <c r="C139" s="12" t="s">
        <v>603</v>
      </c>
      <c r="D139" s="12" t="s">
        <v>567</v>
      </c>
      <c r="E139" s="12" t="s">
        <v>604</v>
      </c>
      <c r="F139" s="12">
        <v>968</v>
      </c>
      <c r="G139" s="12" t="s">
        <v>26</v>
      </c>
      <c r="H139" s="12">
        <v>15</v>
      </c>
      <c r="I139" s="12">
        <v>2</v>
      </c>
      <c r="J139" s="12">
        <v>13</v>
      </c>
      <c r="K139" s="14">
        <v>45466</v>
      </c>
      <c r="L139" s="14">
        <v>46788</v>
      </c>
      <c r="M139" s="12">
        <v>1322</v>
      </c>
      <c r="N139" s="12">
        <v>380</v>
      </c>
      <c r="O139" s="12" t="s">
        <v>605</v>
      </c>
      <c r="P139" s="12" t="s">
        <v>28</v>
      </c>
    </row>
    <row r="140" spans="1:16" x14ac:dyDescent="0.3">
      <c r="A140" s="12">
        <v>163</v>
      </c>
      <c r="B140" s="13" t="s">
        <v>279</v>
      </c>
      <c r="C140" s="12" t="s">
        <v>280</v>
      </c>
      <c r="D140" s="12" t="s">
        <v>271</v>
      </c>
      <c r="E140" s="12" t="s">
        <v>281</v>
      </c>
      <c r="F140" s="12">
        <v>291</v>
      </c>
      <c r="G140" s="12" t="s">
        <v>32</v>
      </c>
      <c r="H140" s="12">
        <v>35</v>
      </c>
      <c r="I140" s="12">
        <v>19</v>
      </c>
      <c r="J140" s="12">
        <v>16</v>
      </c>
      <c r="K140" s="14">
        <v>45384</v>
      </c>
      <c r="L140" s="14">
        <v>45959</v>
      </c>
      <c r="M140" s="12">
        <v>575</v>
      </c>
      <c r="N140" s="12">
        <v>320</v>
      </c>
      <c r="O140" s="12" t="s">
        <v>282</v>
      </c>
      <c r="P140" s="12" t="s">
        <v>34</v>
      </c>
    </row>
    <row r="141" spans="1:16" x14ac:dyDescent="0.3">
      <c r="A141" s="12">
        <v>133</v>
      </c>
      <c r="B141" s="13" t="s">
        <v>157</v>
      </c>
      <c r="C141" s="12" t="s">
        <v>158</v>
      </c>
      <c r="D141" s="12" t="s">
        <v>138</v>
      </c>
      <c r="E141" s="12" t="s">
        <v>159</v>
      </c>
      <c r="F141" s="12">
        <v>947</v>
      </c>
      <c r="G141" s="12" t="s">
        <v>32</v>
      </c>
      <c r="H141" s="12">
        <v>17</v>
      </c>
      <c r="I141" s="12">
        <v>8</v>
      </c>
      <c r="J141" s="12">
        <v>9</v>
      </c>
      <c r="K141" s="14">
        <v>45354</v>
      </c>
      <c r="L141" s="14">
        <v>45656</v>
      </c>
      <c r="M141" s="12">
        <v>302</v>
      </c>
      <c r="N141" s="12">
        <v>480</v>
      </c>
      <c r="O141" s="12" t="s">
        <v>160</v>
      </c>
      <c r="P141" s="12" t="s">
        <v>28</v>
      </c>
    </row>
    <row r="142" spans="1:16" x14ac:dyDescent="0.3">
      <c r="A142" s="12">
        <v>177</v>
      </c>
      <c r="B142" s="13" t="s">
        <v>333</v>
      </c>
      <c r="C142" s="12" t="s">
        <v>334</v>
      </c>
      <c r="D142" s="12" t="s">
        <v>310</v>
      </c>
      <c r="E142" s="12" t="s">
        <v>335</v>
      </c>
      <c r="F142" s="12">
        <v>305</v>
      </c>
      <c r="G142" s="12" t="s">
        <v>20</v>
      </c>
      <c r="H142" s="12">
        <v>21</v>
      </c>
      <c r="I142" s="12">
        <v>1</v>
      </c>
      <c r="J142" s="12">
        <v>20</v>
      </c>
      <c r="K142" s="14">
        <v>45398</v>
      </c>
      <c r="L142" s="14">
        <v>46097</v>
      </c>
      <c r="M142" s="12">
        <v>699</v>
      </c>
      <c r="N142" s="12">
        <v>460</v>
      </c>
      <c r="O142" s="12" t="s">
        <v>336</v>
      </c>
      <c r="P142" s="12" t="s">
        <v>28</v>
      </c>
    </row>
    <row r="143" spans="1:16" x14ac:dyDescent="0.3">
      <c r="A143" s="12">
        <v>103</v>
      </c>
      <c r="B143" s="13" t="s">
        <v>29</v>
      </c>
      <c r="C143" s="12" t="s">
        <v>30</v>
      </c>
      <c r="D143" s="12" t="s">
        <v>18</v>
      </c>
      <c r="E143" s="12" t="s">
        <v>31</v>
      </c>
      <c r="F143" s="12">
        <v>470</v>
      </c>
      <c r="G143" s="12" t="s">
        <v>32</v>
      </c>
      <c r="H143" s="12">
        <v>49</v>
      </c>
      <c r="I143" s="12">
        <v>25</v>
      </c>
      <c r="J143" s="12">
        <v>24</v>
      </c>
      <c r="K143" s="14">
        <v>45324</v>
      </c>
      <c r="L143" s="14">
        <v>45349</v>
      </c>
      <c r="M143" s="12">
        <v>25</v>
      </c>
      <c r="N143" s="12">
        <v>500</v>
      </c>
      <c r="O143" s="12" t="s">
        <v>33</v>
      </c>
      <c r="P143" s="12" t="s">
        <v>34</v>
      </c>
    </row>
    <row r="144" spans="1:16" x14ac:dyDescent="0.3">
      <c r="A144" s="12">
        <v>222</v>
      </c>
      <c r="B144" s="13" t="s">
        <v>509</v>
      </c>
      <c r="C144" s="12" t="s">
        <v>510</v>
      </c>
      <c r="D144" s="12" t="s">
        <v>447</v>
      </c>
      <c r="E144" s="12" t="s">
        <v>511</v>
      </c>
      <c r="F144" s="12">
        <v>578</v>
      </c>
      <c r="G144" s="12" t="s">
        <v>38</v>
      </c>
      <c r="H144" s="12">
        <v>25</v>
      </c>
      <c r="I144" s="12">
        <v>18</v>
      </c>
      <c r="J144" s="12">
        <v>7</v>
      </c>
      <c r="K144" s="14">
        <v>45443</v>
      </c>
      <c r="L144" s="14">
        <v>46554</v>
      </c>
      <c r="M144" s="12">
        <v>1111</v>
      </c>
      <c r="N144" s="12">
        <v>320</v>
      </c>
      <c r="O144" s="12" t="s">
        <v>512</v>
      </c>
      <c r="P144" s="12" t="s">
        <v>22</v>
      </c>
    </row>
    <row r="145" spans="1:16" x14ac:dyDescent="0.3">
      <c r="A145" s="12">
        <v>134</v>
      </c>
      <c r="B145" s="13" t="s">
        <v>161</v>
      </c>
      <c r="C145" s="12" t="s">
        <v>162</v>
      </c>
      <c r="D145" s="12" t="s">
        <v>138</v>
      </c>
      <c r="E145" s="12" t="s">
        <v>163</v>
      </c>
      <c r="F145" s="12">
        <v>760</v>
      </c>
      <c r="G145" s="12" t="s">
        <v>38</v>
      </c>
      <c r="H145" s="12">
        <v>16</v>
      </c>
      <c r="I145" s="12">
        <v>4</v>
      </c>
      <c r="J145" s="12">
        <v>12</v>
      </c>
      <c r="K145" s="14">
        <v>45355</v>
      </c>
      <c r="L145" s="14">
        <v>45661</v>
      </c>
      <c r="M145" s="12">
        <v>306</v>
      </c>
      <c r="N145" s="12">
        <v>320</v>
      </c>
      <c r="O145" s="12" t="s">
        <v>164</v>
      </c>
      <c r="P145" s="12" t="s">
        <v>34</v>
      </c>
    </row>
    <row r="146" spans="1:16" x14ac:dyDescent="0.3">
      <c r="A146" s="12">
        <v>150</v>
      </c>
      <c r="B146" s="13" t="s">
        <v>226</v>
      </c>
      <c r="C146" s="12" t="s">
        <v>227</v>
      </c>
      <c r="D146" s="12" t="s">
        <v>183</v>
      </c>
      <c r="E146" s="12" t="s">
        <v>228</v>
      </c>
      <c r="F146" s="12">
        <v>846</v>
      </c>
      <c r="G146" s="12" t="s">
        <v>38</v>
      </c>
      <c r="H146" s="12">
        <v>48</v>
      </c>
      <c r="I146" s="12">
        <v>40</v>
      </c>
      <c r="J146" s="12">
        <v>8</v>
      </c>
      <c r="K146" s="14">
        <v>45371</v>
      </c>
      <c r="L146" s="14">
        <v>45823</v>
      </c>
      <c r="M146" s="12">
        <v>452</v>
      </c>
      <c r="N146" s="12">
        <v>440</v>
      </c>
      <c r="O146" s="12" t="s">
        <v>229</v>
      </c>
      <c r="P146" s="12" t="s">
        <v>28</v>
      </c>
    </row>
    <row r="147" spans="1:16" x14ac:dyDescent="0.3">
      <c r="A147" s="12">
        <v>153</v>
      </c>
      <c r="B147" s="13" t="s">
        <v>239</v>
      </c>
      <c r="C147" s="12" t="s">
        <v>240</v>
      </c>
      <c r="D147" s="12" t="s">
        <v>232</v>
      </c>
      <c r="E147" s="12" t="s">
        <v>241</v>
      </c>
      <c r="F147" s="12">
        <v>473</v>
      </c>
      <c r="G147" s="12" t="s">
        <v>20</v>
      </c>
      <c r="H147" s="12">
        <v>45</v>
      </c>
      <c r="I147" s="12">
        <v>38</v>
      </c>
      <c r="J147" s="12">
        <v>7</v>
      </c>
      <c r="K147" s="14">
        <v>45374</v>
      </c>
      <c r="L147" s="14">
        <v>45855</v>
      </c>
      <c r="M147" s="12">
        <v>481</v>
      </c>
      <c r="N147" s="12">
        <v>420</v>
      </c>
      <c r="O147" s="12" t="s">
        <v>242</v>
      </c>
      <c r="P147" s="12" t="s">
        <v>34</v>
      </c>
    </row>
    <row r="148" spans="1:16" x14ac:dyDescent="0.3">
      <c r="A148" s="12">
        <v>226</v>
      </c>
      <c r="B148" s="13" t="s">
        <v>524</v>
      </c>
      <c r="C148" s="12" t="s">
        <v>525</v>
      </c>
      <c r="D148" s="12" t="s">
        <v>526</v>
      </c>
      <c r="E148" s="12" t="s">
        <v>527</v>
      </c>
      <c r="F148" s="12">
        <v>240</v>
      </c>
      <c r="G148" s="12" t="s">
        <v>26</v>
      </c>
      <c r="H148" s="12">
        <v>21</v>
      </c>
      <c r="I148" s="12">
        <v>16</v>
      </c>
      <c r="J148" s="12">
        <v>5</v>
      </c>
      <c r="K148" s="14">
        <v>45447</v>
      </c>
      <c r="L148" s="14">
        <v>46598</v>
      </c>
      <c r="M148" s="12">
        <v>1151</v>
      </c>
      <c r="N148" s="12">
        <v>400</v>
      </c>
      <c r="O148" s="12" t="s">
        <v>528</v>
      </c>
      <c r="P148" s="12" t="s">
        <v>28</v>
      </c>
    </row>
    <row r="149" spans="1:16" x14ac:dyDescent="0.3">
      <c r="A149" s="12">
        <v>257</v>
      </c>
      <c r="B149" s="13" t="s">
        <v>650</v>
      </c>
      <c r="C149" s="12" t="s">
        <v>651</v>
      </c>
      <c r="D149" s="12" t="s">
        <v>622</v>
      </c>
      <c r="E149" s="12" t="s">
        <v>652</v>
      </c>
      <c r="F149" s="12">
        <v>890</v>
      </c>
      <c r="G149" s="12" t="s">
        <v>65</v>
      </c>
      <c r="H149" s="12">
        <v>39</v>
      </c>
      <c r="I149" s="12">
        <v>24</v>
      </c>
      <c r="J149" s="12">
        <v>15</v>
      </c>
      <c r="K149" s="14">
        <v>45478</v>
      </c>
      <c r="L149" s="14">
        <v>46906</v>
      </c>
      <c r="M149" s="12">
        <v>1428</v>
      </c>
      <c r="N149" s="12">
        <v>200</v>
      </c>
      <c r="O149" s="12" t="s">
        <v>653</v>
      </c>
      <c r="P149" s="12" t="s">
        <v>22</v>
      </c>
    </row>
    <row r="150" spans="1:16" x14ac:dyDescent="0.3">
      <c r="A150" s="12">
        <v>281</v>
      </c>
      <c r="B150" s="13" t="s">
        <v>743</v>
      </c>
      <c r="C150" s="12" t="s">
        <v>744</v>
      </c>
      <c r="D150" s="12" t="s">
        <v>727</v>
      </c>
      <c r="E150" s="12" t="s">
        <v>745</v>
      </c>
      <c r="F150" s="12">
        <v>773</v>
      </c>
      <c r="G150" s="12" t="s">
        <v>32</v>
      </c>
      <c r="H150" s="12">
        <v>15</v>
      </c>
      <c r="I150" s="12">
        <v>1</v>
      </c>
      <c r="J150" s="12">
        <v>14</v>
      </c>
      <c r="K150" s="14">
        <v>45873</v>
      </c>
      <c r="L150" s="14">
        <v>45887</v>
      </c>
      <c r="M150" s="12">
        <v>14</v>
      </c>
      <c r="N150" s="12">
        <v>240</v>
      </c>
      <c r="O150" s="12" t="s">
        <v>746</v>
      </c>
      <c r="P150" s="12" t="s">
        <v>28</v>
      </c>
    </row>
    <row r="151" spans="1:16" x14ac:dyDescent="0.3">
      <c r="A151" s="12">
        <v>252</v>
      </c>
      <c r="B151" s="13" t="s">
        <v>630</v>
      </c>
      <c r="C151" s="12" t="s">
        <v>631</v>
      </c>
      <c r="D151" s="12" t="s">
        <v>606</v>
      </c>
      <c r="E151" s="12" t="s">
        <v>632</v>
      </c>
      <c r="F151" s="12">
        <v>592</v>
      </c>
      <c r="G151" s="12" t="s">
        <v>20</v>
      </c>
      <c r="H151" s="12">
        <v>44</v>
      </c>
      <c r="I151" s="12">
        <v>25</v>
      </c>
      <c r="J151" s="12">
        <v>19</v>
      </c>
      <c r="K151" s="14">
        <v>45473</v>
      </c>
      <c r="L151" s="14">
        <v>46858</v>
      </c>
      <c r="M151" s="12">
        <v>1385</v>
      </c>
      <c r="N151" s="12">
        <v>100</v>
      </c>
      <c r="O151" s="12" t="s">
        <v>633</v>
      </c>
      <c r="P151" s="12" t="s">
        <v>28</v>
      </c>
    </row>
    <row r="152" spans="1:16" x14ac:dyDescent="0.3">
      <c r="A152" s="12">
        <v>155</v>
      </c>
      <c r="B152" s="13" t="s">
        <v>247</v>
      </c>
      <c r="C152" s="12" t="s">
        <v>248</v>
      </c>
      <c r="D152" s="12" t="s">
        <v>232</v>
      </c>
      <c r="E152" s="12" t="s">
        <v>249</v>
      </c>
      <c r="F152" s="12">
        <v>800</v>
      </c>
      <c r="G152" s="12" t="s">
        <v>38</v>
      </c>
      <c r="H152" s="12">
        <v>43</v>
      </c>
      <c r="I152" s="12">
        <v>32</v>
      </c>
      <c r="J152" s="12">
        <v>11</v>
      </c>
      <c r="K152" s="14">
        <v>45376</v>
      </c>
      <c r="L152" s="14">
        <v>45871</v>
      </c>
      <c r="M152" s="12">
        <v>495</v>
      </c>
      <c r="N152" s="12">
        <v>120</v>
      </c>
      <c r="O152" s="12" t="s">
        <v>250</v>
      </c>
      <c r="P152" s="12" t="s">
        <v>22</v>
      </c>
    </row>
    <row r="153" spans="1:16" x14ac:dyDescent="0.3">
      <c r="A153" s="12">
        <v>139</v>
      </c>
      <c r="B153" s="13" t="s">
        <v>181</v>
      </c>
      <c r="C153" s="12" t="s">
        <v>182</v>
      </c>
      <c r="D153" s="12" t="s">
        <v>183</v>
      </c>
      <c r="E153" s="12" t="s">
        <v>184</v>
      </c>
      <c r="F153" s="12">
        <v>675</v>
      </c>
      <c r="G153" s="12" t="s">
        <v>20</v>
      </c>
      <c r="H153" s="12">
        <v>11</v>
      </c>
      <c r="I153" s="12">
        <v>6</v>
      </c>
      <c r="J153" s="12">
        <v>5</v>
      </c>
      <c r="K153" s="14">
        <v>45360</v>
      </c>
      <c r="L153" s="14">
        <v>45715</v>
      </c>
      <c r="M153" s="12">
        <v>355</v>
      </c>
      <c r="N153" s="12">
        <v>440</v>
      </c>
      <c r="O153" s="12" t="s">
        <v>185</v>
      </c>
      <c r="P153" s="12" t="s">
        <v>28</v>
      </c>
    </row>
    <row r="154" spans="1:16" x14ac:dyDescent="0.3">
      <c r="A154" s="12">
        <v>140</v>
      </c>
      <c r="B154" s="13" t="s">
        <v>186</v>
      </c>
      <c r="C154" s="12" t="s">
        <v>187</v>
      </c>
      <c r="D154" s="12" t="s">
        <v>183</v>
      </c>
      <c r="E154" s="12" t="s">
        <v>188</v>
      </c>
      <c r="F154" s="12">
        <v>899</v>
      </c>
      <c r="G154" s="12" t="s">
        <v>38</v>
      </c>
      <c r="H154" s="12">
        <v>10</v>
      </c>
      <c r="I154" s="12">
        <v>4</v>
      </c>
      <c r="J154" s="12">
        <v>6</v>
      </c>
      <c r="K154" s="14">
        <v>45361</v>
      </c>
      <c r="L154" s="14">
        <v>45721</v>
      </c>
      <c r="M154" s="12">
        <v>360</v>
      </c>
      <c r="N154" s="12">
        <v>460</v>
      </c>
      <c r="O154" s="12" t="s">
        <v>189</v>
      </c>
      <c r="P154" s="12" t="s">
        <v>34</v>
      </c>
    </row>
    <row r="155" spans="1:16" x14ac:dyDescent="0.3">
      <c r="A155" s="12">
        <v>168</v>
      </c>
      <c r="B155" s="13" t="s">
        <v>299</v>
      </c>
      <c r="C155" s="12" t="s">
        <v>300</v>
      </c>
      <c r="D155" s="12" t="s">
        <v>271</v>
      </c>
      <c r="E155" s="12" t="s">
        <v>301</v>
      </c>
      <c r="F155" s="12">
        <v>975</v>
      </c>
      <c r="G155" s="12" t="s">
        <v>20</v>
      </c>
      <c r="H155" s="12">
        <v>30</v>
      </c>
      <c r="I155" s="12">
        <v>23</v>
      </c>
      <c r="J155" s="12">
        <v>7</v>
      </c>
      <c r="K155" s="14">
        <v>45389</v>
      </c>
      <c r="L155" s="14">
        <v>46009</v>
      </c>
      <c r="M155" s="12">
        <v>620</v>
      </c>
      <c r="N155" s="12">
        <v>180</v>
      </c>
      <c r="O155" s="12" t="s">
        <v>119</v>
      </c>
      <c r="P155" s="12" t="s">
        <v>34</v>
      </c>
    </row>
    <row r="156" spans="1:16" x14ac:dyDescent="0.3">
      <c r="A156" s="12">
        <v>239</v>
      </c>
      <c r="B156" s="13" t="s">
        <v>578</v>
      </c>
      <c r="C156" s="12" t="s">
        <v>579</v>
      </c>
      <c r="D156" s="12" t="s">
        <v>567</v>
      </c>
      <c r="E156" s="12" t="s">
        <v>580</v>
      </c>
      <c r="F156" s="12">
        <v>925</v>
      </c>
      <c r="G156" s="12" t="s">
        <v>20</v>
      </c>
      <c r="H156" s="12">
        <v>9</v>
      </c>
      <c r="I156" s="12">
        <v>8</v>
      </c>
      <c r="J156" s="12">
        <v>1</v>
      </c>
      <c r="K156" s="14">
        <v>45460</v>
      </c>
      <c r="L156" s="14">
        <v>46726</v>
      </c>
      <c r="M156" s="12">
        <v>1266</v>
      </c>
      <c r="N156" s="12">
        <v>260</v>
      </c>
      <c r="O156" s="12" t="s">
        <v>581</v>
      </c>
      <c r="P156" s="12" t="s">
        <v>22</v>
      </c>
    </row>
    <row r="157" spans="1:16" x14ac:dyDescent="0.3">
      <c r="A157" s="12">
        <v>246</v>
      </c>
      <c r="B157" s="13" t="s">
        <v>606</v>
      </c>
      <c r="C157" s="12" t="s">
        <v>607</v>
      </c>
      <c r="D157" s="12" t="s">
        <v>608</v>
      </c>
      <c r="E157" s="12" t="s">
        <v>609</v>
      </c>
      <c r="F157" s="12">
        <v>204</v>
      </c>
      <c r="G157" s="12" t="s">
        <v>26</v>
      </c>
      <c r="H157" s="12">
        <v>16</v>
      </c>
      <c r="I157" s="12">
        <v>1</v>
      </c>
      <c r="J157" s="12">
        <v>15</v>
      </c>
      <c r="K157" s="14">
        <v>45467</v>
      </c>
      <c r="L157" s="14">
        <v>46800</v>
      </c>
      <c r="M157" s="12">
        <v>1333</v>
      </c>
      <c r="N157" s="12">
        <v>400</v>
      </c>
      <c r="O157" s="12" t="s">
        <v>610</v>
      </c>
      <c r="P157" s="12" t="s">
        <v>22</v>
      </c>
    </row>
    <row r="158" spans="1:16" x14ac:dyDescent="0.3">
      <c r="A158" s="12">
        <v>159</v>
      </c>
      <c r="B158" s="13" t="s">
        <v>263</v>
      </c>
      <c r="C158" s="12" t="s">
        <v>264</v>
      </c>
      <c r="D158" s="12" t="s">
        <v>232</v>
      </c>
      <c r="E158" s="12" t="s">
        <v>265</v>
      </c>
      <c r="F158" s="12">
        <v>976</v>
      </c>
      <c r="G158" s="12" t="s">
        <v>38</v>
      </c>
      <c r="H158" s="12">
        <v>39</v>
      </c>
      <c r="I158" s="12">
        <v>25</v>
      </c>
      <c r="J158" s="12">
        <v>14</v>
      </c>
      <c r="K158" s="14">
        <v>45380</v>
      </c>
      <c r="L158" s="14">
        <v>45918</v>
      </c>
      <c r="M158" s="12">
        <v>538</v>
      </c>
      <c r="N158" s="12">
        <v>200</v>
      </c>
      <c r="O158" s="12" t="s">
        <v>266</v>
      </c>
      <c r="P158" s="12" t="s">
        <v>28</v>
      </c>
    </row>
    <row r="159" spans="1:16" x14ac:dyDescent="0.3">
      <c r="A159" s="12">
        <v>299</v>
      </c>
      <c r="B159" s="13" t="s">
        <v>817</v>
      </c>
      <c r="C159" s="12" t="s">
        <v>818</v>
      </c>
      <c r="D159" s="12" t="s">
        <v>806</v>
      </c>
      <c r="E159" s="12" t="s">
        <v>819</v>
      </c>
      <c r="F159" s="12">
        <v>482</v>
      </c>
      <c r="G159" s="12" t="s">
        <v>65</v>
      </c>
      <c r="H159" s="12">
        <v>23</v>
      </c>
      <c r="I159" s="12">
        <v>14</v>
      </c>
      <c r="J159" s="12">
        <v>9</v>
      </c>
      <c r="K159" s="14">
        <v>45339</v>
      </c>
      <c r="L159" s="14">
        <v>45504</v>
      </c>
      <c r="M159" s="12">
        <v>165</v>
      </c>
      <c r="N159" s="12">
        <v>140</v>
      </c>
      <c r="O159" s="12" t="s">
        <v>820</v>
      </c>
      <c r="P159" s="12" t="s">
        <v>28</v>
      </c>
    </row>
    <row r="160" spans="1:16" x14ac:dyDescent="0.3">
      <c r="A160" s="12">
        <v>207</v>
      </c>
      <c r="B160" s="13" t="s">
        <v>450</v>
      </c>
      <c r="C160" s="12" t="s">
        <v>451</v>
      </c>
      <c r="D160" s="12" t="s">
        <v>447</v>
      </c>
      <c r="E160" s="12" t="s">
        <v>452</v>
      </c>
      <c r="F160" s="12">
        <v>214</v>
      </c>
      <c r="G160" s="12" t="s">
        <v>26</v>
      </c>
      <c r="H160" s="12">
        <v>40</v>
      </c>
      <c r="I160" s="12">
        <v>34</v>
      </c>
      <c r="J160" s="12">
        <v>6</v>
      </c>
      <c r="K160" s="14">
        <v>45428</v>
      </c>
      <c r="L160" s="14">
        <v>46403</v>
      </c>
      <c r="M160" s="12">
        <v>975</v>
      </c>
      <c r="N160" s="12">
        <v>800</v>
      </c>
      <c r="O160" s="12" t="s">
        <v>453</v>
      </c>
      <c r="P160" s="12" t="s">
        <v>22</v>
      </c>
    </row>
    <row r="161" spans="1:16" x14ac:dyDescent="0.3">
      <c r="A161" s="12">
        <v>132</v>
      </c>
      <c r="B161" s="13" t="s">
        <v>153</v>
      </c>
      <c r="C161" s="12" t="s">
        <v>154</v>
      </c>
      <c r="D161" s="12" t="s">
        <v>138</v>
      </c>
      <c r="E161" s="12" t="s">
        <v>155</v>
      </c>
      <c r="F161" s="12">
        <v>452</v>
      </c>
      <c r="G161" s="12" t="s">
        <v>32</v>
      </c>
      <c r="H161" s="12">
        <v>18</v>
      </c>
      <c r="I161" s="12">
        <v>6</v>
      </c>
      <c r="J161" s="12">
        <v>12</v>
      </c>
      <c r="K161" s="14">
        <v>45353</v>
      </c>
      <c r="L161" s="14">
        <v>45644</v>
      </c>
      <c r="M161" s="12">
        <v>291</v>
      </c>
      <c r="N161" s="12">
        <v>600</v>
      </c>
      <c r="O161" s="12" t="s">
        <v>156</v>
      </c>
      <c r="P161" s="12" t="s">
        <v>28</v>
      </c>
    </row>
    <row r="162" spans="1:16" x14ac:dyDescent="0.3">
      <c r="A162" s="12">
        <v>287</v>
      </c>
      <c r="B162" s="13" t="s">
        <v>768</v>
      </c>
      <c r="C162" s="12" t="s">
        <v>769</v>
      </c>
      <c r="D162" s="12" t="s">
        <v>765</v>
      </c>
      <c r="E162" s="12" t="s">
        <v>770</v>
      </c>
      <c r="F162" s="12">
        <v>539</v>
      </c>
      <c r="G162" s="12" t="s">
        <v>38</v>
      </c>
      <c r="H162" s="12">
        <v>9</v>
      </c>
      <c r="I162" s="12">
        <v>7</v>
      </c>
      <c r="J162" s="12">
        <v>2</v>
      </c>
      <c r="K162" s="14">
        <v>45327</v>
      </c>
      <c r="L162" s="14">
        <v>45379</v>
      </c>
      <c r="M162" s="12">
        <v>52</v>
      </c>
      <c r="N162" s="12">
        <v>360</v>
      </c>
      <c r="O162" s="12" t="s">
        <v>771</v>
      </c>
      <c r="P162" s="12" t="s">
        <v>34</v>
      </c>
    </row>
    <row r="163" spans="1:16" x14ac:dyDescent="0.3">
      <c r="A163" s="12">
        <v>235</v>
      </c>
      <c r="B163" s="13" t="s">
        <v>561</v>
      </c>
      <c r="C163" s="12" t="s">
        <v>562</v>
      </c>
      <c r="D163" s="12" t="s">
        <v>526</v>
      </c>
      <c r="E163" s="12" t="s">
        <v>563</v>
      </c>
      <c r="F163" s="12">
        <v>773</v>
      </c>
      <c r="G163" s="12" t="s">
        <v>38</v>
      </c>
      <c r="H163" s="12">
        <v>12</v>
      </c>
      <c r="I163" s="12">
        <v>5</v>
      </c>
      <c r="J163" s="12">
        <v>7</v>
      </c>
      <c r="K163" s="14">
        <v>45456</v>
      </c>
      <c r="L163" s="14">
        <v>46688</v>
      </c>
      <c r="M163" s="12">
        <v>1232</v>
      </c>
      <c r="N163" s="12">
        <v>180</v>
      </c>
      <c r="O163" s="12" t="s">
        <v>564</v>
      </c>
      <c r="P163" s="12" t="s">
        <v>28</v>
      </c>
    </row>
    <row r="164" spans="1:16" x14ac:dyDescent="0.3">
      <c r="A164" s="12">
        <v>224</v>
      </c>
      <c r="B164" s="13" t="s">
        <v>83</v>
      </c>
      <c r="C164" s="12" t="s">
        <v>517</v>
      </c>
      <c r="D164" s="12" t="s">
        <v>447</v>
      </c>
      <c r="E164" s="12" t="s">
        <v>518</v>
      </c>
      <c r="F164" s="12">
        <v>689</v>
      </c>
      <c r="G164" s="12" t="s">
        <v>38</v>
      </c>
      <c r="H164" s="12">
        <v>23</v>
      </c>
      <c r="I164" s="12">
        <v>14</v>
      </c>
      <c r="J164" s="12">
        <v>9</v>
      </c>
      <c r="K164" s="14">
        <v>45445</v>
      </c>
      <c r="L164" s="14">
        <v>46571</v>
      </c>
      <c r="M164" s="12">
        <v>1126</v>
      </c>
      <c r="N164" s="12">
        <v>360</v>
      </c>
      <c r="O164" s="12" t="s">
        <v>519</v>
      </c>
      <c r="P164" s="12" t="s">
        <v>28</v>
      </c>
    </row>
    <row r="165" spans="1:16" x14ac:dyDescent="0.3">
      <c r="A165" s="12">
        <v>248</v>
      </c>
      <c r="B165" s="13" t="s">
        <v>615</v>
      </c>
      <c r="C165" s="12" t="s">
        <v>616</v>
      </c>
      <c r="D165" s="12" t="s">
        <v>608</v>
      </c>
      <c r="E165" s="12" t="s">
        <v>617</v>
      </c>
      <c r="F165" s="12">
        <v>702</v>
      </c>
      <c r="G165" s="12" t="s">
        <v>26</v>
      </c>
      <c r="H165" s="12">
        <v>48</v>
      </c>
      <c r="I165" s="12">
        <v>41</v>
      </c>
      <c r="J165" s="12">
        <v>7</v>
      </c>
      <c r="K165" s="14">
        <v>45469</v>
      </c>
      <c r="L165" s="14">
        <v>46816</v>
      </c>
      <c r="M165" s="12">
        <v>1347</v>
      </c>
      <c r="N165" s="12">
        <v>440</v>
      </c>
      <c r="O165" s="12" t="s">
        <v>74</v>
      </c>
      <c r="P165" s="12" t="s">
        <v>34</v>
      </c>
    </row>
    <row r="166" spans="1:16" x14ac:dyDescent="0.3">
      <c r="A166" s="12">
        <v>113</v>
      </c>
      <c r="B166" s="13" t="s">
        <v>75</v>
      </c>
      <c r="C166" s="12" t="s">
        <v>76</v>
      </c>
      <c r="D166" s="12" t="s">
        <v>18</v>
      </c>
      <c r="E166" s="12" t="s">
        <v>77</v>
      </c>
      <c r="F166" s="12">
        <v>658</v>
      </c>
      <c r="G166" s="12" t="s">
        <v>32</v>
      </c>
      <c r="H166" s="12">
        <v>38</v>
      </c>
      <c r="I166" s="12">
        <v>24</v>
      </c>
      <c r="J166" s="12">
        <v>14</v>
      </c>
      <c r="K166" s="14">
        <v>45334</v>
      </c>
      <c r="L166" s="14">
        <v>45445</v>
      </c>
      <c r="M166" s="12">
        <v>111</v>
      </c>
      <c r="N166" s="12">
        <v>480</v>
      </c>
      <c r="O166" s="12" t="s">
        <v>78</v>
      </c>
      <c r="P166" s="12" t="s">
        <v>28</v>
      </c>
    </row>
    <row r="167" spans="1:16" x14ac:dyDescent="0.3">
      <c r="A167" s="12">
        <v>275</v>
      </c>
      <c r="B167" s="13" t="s">
        <v>722</v>
      </c>
      <c r="C167" s="12" t="s">
        <v>723</v>
      </c>
      <c r="D167" s="12" t="s">
        <v>688</v>
      </c>
      <c r="E167" s="12" t="s">
        <v>724</v>
      </c>
      <c r="F167" s="12">
        <v>442</v>
      </c>
      <c r="G167" s="12" t="s">
        <v>38</v>
      </c>
      <c r="H167" s="12">
        <v>21</v>
      </c>
      <c r="I167" s="12">
        <v>6</v>
      </c>
      <c r="J167" s="12">
        <v>15</v>
      </c>
      <c r="K167" s="14">
        <v>45879</v>
      </c>
      <c r="L167" s="14">
        <v>47092</v>
      </c>
      <c r="M167" s="12">
        <v>1213</v>
      </c>
      <c r="N167" s="12">
        <v>120</v>
      </c>
      <c r="O167" s="12" t="s">
        <v>725</v>
      </c>
      <c r="P167" s="12" t="s">
        <v>28</v>
      </c>
    </row>
    <row r="168" spans="1:16" x14ac:dyDescent="0.3">
      <c r="A168" s="12">
        <v>141</v>
      </c>
      <c r="B168" s="13" t="s">
        <v>190</v>
      </c>
      <c r="C168" s="12" t="s">
        <v>191</v>
      </c>
      <c r="D168" s="12" t="s">
        <v>183</v>
      </c>
      <c r="E168" s="12" t="s">
        <v>192</v>
      </c>
      <c r="F168" s="12">
        <v>982</v>
      </c>
      <c r="G168" s="12" t="s">
        <v>38</v>
      </c>
      <c r="H168" s="12">
        <v>9</v>
      </c>
      <c r="I168" s="12">
        <v>3</v>
      </c>
      <c r="J168" s="12">
        <v>6</v>
      </c>
      <c r="K168" s="14">
        <v>45362</v>
      </c>
      <c r="L168" s="14">
        <v>45733</v>
      </c>
      <c r="M168" s="12">
        <v>371</v>
      </c>
      <c r="N168" s="12">
        <v>480</v>
      </c>
      <c r="O168" s="12" t="s">
        <v>193</v>
      </c>
      <c r="P168" s="12" t="s">
        <v>22</v>
      </c>
    </row>
    <row r="169" spans="1:16" x14ac:dyDescent="0.3">
      <c r="A169" s="12">
        <v>295</v>
      </c>
      <c r="B169" s="13" t="s">
        <v>800</v>
      </c>
      <c r="C169" s="12" t="s">
        <v>801</v>
      </c>
      <c r="D169" s="12" t="s">
        <v>765</v>
      </c>
      <c r="E169" s="12" t="s">
        <v>802</v>
      </c>
      <c r="F169" s="12">
        <v>389</v>
      </c>
      <c r="G169" s="12" t="s">
        <v>65</v>
      </c>
      <c r="H169" s="12">
        <v>12</v>
      </c>
      <c r="I169" s="12">
        <v>5</v>
      </c>
      <c r="J169" s="12">
        <v>7</v>
      </c>
      <c r="K169" s="14">
        <v>45335</v>
      </c>
      <c r="L169" s="14">
        <v>45457</v>
      </c>
      <c r="M169" s="12">
        <v>122</v>
      </c>
      <c r="N169" s="12">
        <v>600</v>
      </c>
      <c r="O169" s="12" t="s">
        <v>803</v>
      </c>
      <c r="P169" s="12" t="s">
        <v>28</v>
      </c>
    </row>
    <row r="170" spans="1:16" x14ac:dyDescent="0.3">
      <c r="A170" s="12">
        <v>200</v>
      </c>
      <c r="B170" s="13" t="s">
        <v>422</v>
      </c>
      <c r="C170" s="12" t="s">
        <v>423</v>
      </c>
      <c r="D170" s="12" t="s">
        <v>351</v>
      </c>
      <c r="E170" s="12" t="s">
        <v>424</v>
      </c>
      <c r="F170" s="12">
        <v>416</v>
      </c>
      <c r="G170" s="12" t="s">
        <v>38</v>
      </c>
      <c r="H170" s="12">
        <v>47</v>
      </c>
      <c r="I170" s="12">
        <v>32</v>
      </c>
      <c r="J170" s="12">
        <v>15</v>
      </c>
      <c r="K170" s="14">
        <v>45421</v>
      </c>
      <c r="L170" s="14">
        <v>46330</v>
      </c>
      <c r="M170" s="12">
        <v>909</v>
      </c>
      <c r="N170" s="12">
        <v>480</v>
      </c>
      <c r="O170" s="12" t="s">
        <v>246</v>
      </c>
      <c r="P170" s="12" t="s">
        <v>22</v>
      </c>
    </row>
    <row r="171" spans="1:16" x14ac:dyDescent="0.3">
      <c r="A171" s="12">
        <v>180</v>
      </c>
      <c r="B171" s="13" t="s">
        <v>345</v>
      </c>
      <c r="C171" s="12" t="s">
        <v>346</v>
      </c>
      <c r="D171" s="12" t="s">
        <v>310</v>
      </c>
      <c r="E171" s="12" t="s">
        <v>347</v>
      </c>
      <c r="F171" s="12">
        <v>902</v>
      </c>
      <c r="G171" s="12" t="s">
        <v>65</v>
      </c>
      <c r="H171" s="12">
        <v>18</v>
      </c>
      <c r="I171" s="12">
        <v>3</v>
      </c>
      <c r="J171" s="12">
        <v>15</v>
      </c>
      <c r="K171" s="14">
        <v>45401</v>
      </c>
      <c r="L171" s="14">
        <v>46127</v>
      </c>
      <c r="M171" s="12">
        <v>726</v>
      </c>
      <c r="N171" s="12">
        <v>200</v>
      </c>
      <c r="O171" s="12" t="s">
        <v>348</v>
      </c>
      <c r="P171" s="12" t="s">
        <v>28</v>
      </c>
    </row>
    <row r="172" spans="1:16" x14ac:dyDescent="0.3">
      <c r="A172" s="12">
        <v>291</v>
      </c>
      <c r="B172" s="13" t="s">
        <v>784</v>
      </c>
      <c r="C172" s="12" t="s">
        <v>785</v>
      </c>
      <c r="D172" s="12" t="s">
        <v>765</v>
      </c>
      <c r="E172" s="12" t="s">
        <v>786</v>
      </c>
      <c r="F172" s="12">
        <v>705</v>
      </c>
      <c r="G172" s="12" t="s">
        <v>38</v>
      </c>
      <c r="H172" s="12">
        <v>9</v>
      </c>
      <c r="I172" s="12">
        <v>8</v>
      </c>
      <c r="J172" s="12">
        <v>1</v>
      </c>
      <c r="K172" s="14">
        <v>45331</v>
      </c>
      <c r="L172" s="14">
        <v>45416</v>
      </c>
      <c r="M172" s="12">
        <v>85</v>
      </c>
      <c r="N172" s="12">
        <v>440</v>
      </c>
      <c r="O172" s="12" t="s">
        <v>787</v>
      </c>
      <c r="P172" s="12" t="s">
        <v>28</v>
      </c>
    </row>
    <row r="173" spans="1:16" x14ac:dyDescent="0.3">
      <c r="A173" s="12">
        <v>189</v>
      </c>
      <c r="B173" s="13" t="s">
        <v>380</v>
      </c>
      <c r="C173" s="12" t="s">
        <v>381</v>
      </c>
      <c r="D173" s="12" t="s">
        <v>351</v>
      </c>
      <c r="E173" s="12" t="s">
        <v>382</v>
      </c>
      <c r="F173" s="12">
        <v>661</v>
      </c>
      <c r="G173" s="12" t="s">
        <v>38</v>
      </c>
      <c r="H173" s="12">
        <v>12</v>
      </c>
      <c r="I173" s="12">
        <v>9</v>
      </c>
      <c r="J173" s="12">
        <v>3</v>
      </c>
      <c r="K173" s="14">
        <v>45410</v>
      </c>
      <c r="L173" s="14">
        <v>46220</v>
      </c>
      <c r="M173" s="12">
        <v>810</v>
      </c>
      <c r="N173" s="12">
        <v>160</v>
      </c>
      <c r="O173" s="12" t="s">
        <v>383</v>
      </c>
      <c r="P173" s="12" t="s">
        <v>28</v>
      </c>
    </row>
    <row r="174" spans="1:16" x14ac:dyDescent="0.3">
      <c r="A174" s="12">
        <v>146</v>
      </c>
      <c r="B174" s="13" t="s">
        <v>210</v>
      </c>
      <c r="C174" s="12" t="s">
        <v>211</v>
      </c>
      <c r="D174" s="12" t="s">
        <v>183</v>
      </c>
      <c r="E174" s="12" t="s">
        <v>212</v>
      </c>
      <c r="F174" s="12">
        <v>443</v>
      </c>
      <c r="G174" s="12" t="s">
        <v>38</v>
      </c>
      <c r="H174" s="12">
        <v>4</v>
      </c>
      <c r="I174" s="12">
        <v>1</v>
      </c>
      <c r="J174" s="12">
        <v>3</v>
      </c>
      <c r="K174" s="14">
        <v>45367</v>
      </c>
      <c r="L174" s="14">
        <v>45782</v>
      </c>
      <c r="M174" s="12">
        <v>415</v>
      </c>
      <c r="N174" s="12">
        <v>240</v>
      </c>
      <c r="O174" s="12" t="s">
        <v>213</v>
      </c>
      <c r="P174" s="12" t="s">
        <v>22</v>
      </c>
    </row>
    <row r="175" spans="1:16" x14ac:dyDescent="0.3">
      <c r="A175" s="12">
        <v>251</v>
      </c>
      <c r="B175" s="13" t="s">
        <v>626</v>
      </c>
      <c r="C175" s="12" t="s">
        <v>627</v>
      </c>
      <c r="D175" s="12" t="s">
        <v>606</v>
      </c>
      <c r="E175" s="12" t="s">
        <v>628</v>
      </c>
      <c r="F175" s="12">
        <v>994</v>
      </c>
      <c r="G175" s="12" t="s">
        <v>32</v>
      </c>
      <c r="H175" s="12">
        <v>45</v>
      </c>
      <c r="I175" s="12">
        <v>30</v>
      </c>
      <c r="J175" s="12">
        <v>15</v>
      </c>
      <c r="K175" s="14">
        <v>45472</v>
      </c>
      <c r="L175" s="14">
        <v>46846</v>
      </c>
      <c r="M175" s="12">
        <v>1374</v>
      </c>
      <c r="N175" s="12">
        <v>800</v>
      </c>
      <c r="O175" s="12" t="s">
        <v>629</v>
      </c>
      <c r="P175" s="12" t="s">
        <v>28</v>
      </c>
    </row>
    <row r="176" spans="1:16" x14ac:dyDescent="0.3">
      <c r="A176" s="12">
        <v>250</v>
      </c>
      <c r="B176" s="13" t="s">
        <v>622</v>
      </c>
      <c r="C176" s="12" t="s">
        <v>623</v>
      </c>
      <c r="D176" s="12" t="s">
        <v>608</v>
      </c>
      <c r="E176" s="12" t="s">
        <v>624</v>
      </c>
      <c r="F176" s="12">
        <v>597</v>
      </c>
      <c r="G176" s="12" t="s">
        <v>20</v>
      </c>
      <c r="H176" s="12">
        <v>46</v>
      </c>
      <c r="I176" s="12">
        <v>35</v>
      </c>
      <c r="J176" s="12">
        <v>11</v>
      </c>
      <c r="K176" s="14">
        <v>45471</v>
      </c>
      <c r="L176" s="14">
        <v>46840</v>
      </c>
      <c r="M176" s="12">
        <v>1369</v>
      </c>
      <c r="N176" s="12">
        <v>480</v>
      </c>
      <c r="O176" s="12" t="s">
        <v>625</v>
      </c>
      <c r="P176" s="12" t="s">
        <v>22</v>
      </c>
    </row>
    <row r="177" spans="1:16" x14ac:dyDescent="0.3">
      <c r="A177" s="12">
        <v>105</v>
      </c>
      <c r="B177" s="13" t="s">
        <v>41</v>
      </c>
      <c r="C177" s="12" t="s">
        <v>42</v>
      </c>
      <c r="D177" s="12" t="s">
        <v>18</v>
      </c>
      <c r="E177" s="12" t="s">
        <v>43</v>
      </c>
      <c r="F177" s="12">
        <v>271</v>
      </c>
      <c r="G177" s="12" t="s">
        <v>38</v>
      </c>
      <c r="H177" s="12">
        <v>42</v>
      </c>
      <c r="I177" s="12">
        <v>28</v>
      </c>
      <c r="J177" s="12">
        <v>14</v>
      </c>
      <c r="K177" s="14">
        <v>45326</v>
      </c>
      <c r="L177" s="14">
        <v>45366</v>
      </c>
      <c r="M177" s="12">
        <v>40</v>
      </c>
      <c r="N177" s="12">
        <v>560</v>
      </c>
      <c r="O177" s="12" t="s">
        <v>44</v>
      </c>
      <c r="P177" s="12" t="s">
        <v>28</v>
      </c>
    </row>
    <row r="178" spans="1:16" x14ac:dyDescent="0.3">
      <c r="A178" s="12">
        <v>149</v>
      </c>
      <c r="B178" s="13" t="s">
        <v>222</v>
      </c>
      <c r="C178" s="12" t="s">
        <v>223</v>
      </c>
      <c r="D178" s="12" t="s">
        <v>183</v>
      </c>
      <c r="E178" s="12" t="s">
        <v>224</v>
      </c>
      <c r="F178" s="12">
        <v>684</v>
      </c>
      <c r="G178" s="12" t="s">
        <v>20</v>
      </c>
      <c r="H178" s="12">
        <v>49</v>
      </c>
      <c r="I178" s="12">
        <v>36</v>
      </c>
      <c r="J178" s="12">
        <v>13</v>
      </c>
      <c r="K178" s="14">
        <v>45370</v>
      </c>
      <c r="L178" s="14">
        <v>45811</v>
      </c>
      <c r="M178" s="12">
        <v>441</v>
      </c>
      <c r="N178" s="12">
        <v>280</v>
      </c>
      <c r="O178" s="12" t="s">
        <v>225</v>
      </c>
      <c r="P178" s="12" t="s">
        <v>28</v>
      </c>
    </row>
    <row r="179" spans="1:16" x14ac:dyDescent="0.3">
      <c r="A179" s="12">
        <v>293</v>
      </c>
      <c r="B179" s="13" t="s">
        <v>792</v>
      </c>
      <c r="C179" s="12" t="s">
        <v>793</v>
      </c>
      <c r="D179" s="12" t="s">
        <v>765</v>
      </c>
      <c r="E179" s="12" t="s">
        <v>794</v>
      </c>
      <c r="F179" s="12">
        <v>672</v>
      </c>
      <c r="G179" s="12" t="s">
        <v>65</v>
      </c>
      <c r="H179" s="12">
        <v>10</v>
      </c>
      <c r="I179" s="12">
        <v>7</v>
      </c>
      <c r="J179" s="12">
        <v>3</v>
      </c>
      <c r="K179" s="14">
        <v>45333</v>
      </c>
      <c r="L179" s="14">
        <v>45441</v>
      </c>
      <c r="M179" s="12">
        <v>108</v>
      </c>
      <c r="N179" s="12">
        <v>480</v>
      </c>
      <c r="O179" s="12" t="s">
        <v>795</v>
      </c>
      <c r="P179" s="12" t="s">
        <v>28</v>
      </c>
    </row>
    <row r="180" spans="1:16" x14ac:dyDescent="0.3">
      <c r="A180" s="12">
        <v>292</v>
      </c>
      <c r="B180" s="13" t="s">
        <v>788</v>
      </c>
      <c r="C180" s="12" t="s">
        <v>789</v>
      </c>
      <c r="D180" s="12" t="s">
        <v>765</v>
      </c>
      <c r="E180" s="12" t="s">
        <v>790</v>
      </c>
      <c r="F180" s="12">
        <v>547</v>
      </c>
      <c r="G180" s="12" t="s">
        <v>32</v>
      </c>
      <c r="H180" s="12">
        <v>9</v>
      </c>
      <c r="I180" s="12">
        <v>4</v>
      </c>
      <c r="J180" s="12">
        <v>5</v>
      </c>
      <c r="K180" s="14">
        <v>45332</v>
      </c>
      <c r="L180" s="14">
        <v>45429</v>
      </c>
      <c r="M180" s="12">
        <v>97</v>
      </c>
      <c r="N180" s="12">
        <v>460</v>
      </c>
      <c r="O180" s="12" t="s">
        <v>791</v>
      </c>
      <c r="P180" s="12" t="s">
        <v>34</v>
      </c>
    </row>
    <row r="181" spans="1:16" x14ac:dyDescent="0.3">
      <c r="A181" s="12">
        <v>221</v>
      </c>
      <c r="B181" s="13" t="s">
        <v>505</v>
      </c>
      <c r="C181" s="12" t="s">
        <v>506</v>
      </c>
      <c r="D181" s="12" t="s">
        <v>447</v>
      </c>
      <c r="E181" s="12" t="s">
        <v>507</v>
      </c>
      <c r="F181" s="12">
        <v>488</v>
      </c>
      <c r="G181" s="12" t="s">
        <v>26</v>
      </c>
      <c r="H181" s="12">
        <v>26</v>
      </c>
      <c r="I181" s="12">
        <v>16</v>
      </c>
      <c r="J181" s="12">
        <v>10</v>
      </c>
      <c r="K181" s="14">
        <v>45442</v>
      </c>
      <c r="L181" s="14">
        <v>46540</v>
      </c>
      <c r="M181" s="12">
        <v>1098</v>
      </c>
      <c r="N181" s="12">
        <v>300</v>
      </c>
      <c r="O181" s="12" t="s">
        <v>508</v>
      </c>
      <c r="P181" s="12" t="s">
        <v>28</v>
      </c>
    </row>
    <row r="182" spans="1:16" x14ac:dyDescent="0.3">
      <c r="A182" s="12">
        <v>225</v>
      </c>
      <c r="B182" s="13" t="s">
        <v>520</v>
      </c>
      <c r="C182" s="12" t="s">
        <v>521</v>
      </c>
      <c r="D182" s="12" t="s">
        <v>447</v>
      </c>
      <c r="E182" s="12" t="s">
        <v>522</v>
      </c>
      <c r="F182" s="12">
        <v>430</v>
      </c>
      <c r="G182" s="12" t="s">
        <v>65</v>
      </c>
      <c r="H182" s="12">
        <v>22</v>
      </c>
      <c r="I182" s="12">
        <v>15</v>
      </c>
      <c r="J182" s="12">
        <v>7</v>
      </c>
      <c r="K182" s="14">
        <v>45446</v>
      </c>
      <c r="L182" s="14">
        <v>46585</v>
      </c>
      <c r="M182" s="12">
        <v>1139</v>
      </c>
      <c r="N182" s="12">
        <v>380</v>
      </c>
      <c r="O182" s="12" t="s">
        <v>523</v>
      </c>
      <c r="P182" s="12" t="s">
        <v>28</v>
      </c>
    </row>
    <row r="183" spans="1:16" x14ac:dyDescent="0.3">
      <c r="A183" s="12">
        <v>183</v>
      </c>
      <c r="B183" s="13" t="s">
        <v>357</v>
      </c>
      <c r="C183" s="12" t="s">
        <v>358</v>
      </c>
      <c r="D183" s="12" t="s">
        <v>351</v>
      </c>
      <c r="E183" s="12" t="s">
        <v>359</v>
      </c>
      <c r="F183" s="12">
        <v>755</v>
      </c>
      <c r="G183" s="12" t="s">
        <v>26</v>
      </c>
      <c r="H183" s="12">
        <v>15</v>
      </c>
      <c r="I183" s="12">
        <v>6</v>
      </c>
      <c r="J183" s="12">
        <v>9</v>
      </c>
      <c r="K183" s="14">
        <v>45404</v>
      </c>
      <c r="L183" s="14">
        <v>46160</v>
      </c>
      <c r="M183" s="12">
        <v>756</v>
      </c>
      <c r="N183" s="12">
        <v>280</v>
      </c>
      <c r="O183" s="12" t="s">
        <v>360</v>
      </c>
      <c r="P183" s="12" t="s">
        <v>34</v>
      </c>
    </row>
    <row r="184" spans="1:16" x14ac:dyDescent="0.3">
      <c r="A184" s="12">
        <v>284</v>
      </c>
      <c r="B184" s="13" t="s">
        <v>755</v>
      </c>
      <c r="C184" s="12" t="s">
        <v>756</v>
      </c>
      <c r="D184" s="12" t="s">
        <v>727</v>
      </c>
      <c r="E184" s="12" t="s">
        <v>757</v>
      </c>
      <c r="F184" s="12">
        <v>227</v>
      </c>
      <c r="G184" s="12" t="s">
        <v>20</v>
      </c>
      <c r="H184" s="12">
        <v>12</v>
      </c>
      <c r="I184" s="12">
        <v>4</v>
      </c>
      <c r="J184" s="12">
        <v>8</v>
      </c>
      <c r="K184" s="14">
        <v>45870</v>
      </c>
      <c r="L184" s="14">
        <v>45891</v>
      </c>
      <c r="M184" s="12">
        <v>21</v>
      </c>
      <c r="N184" s="12">
        <v>300</v>
      </c>
      <c r="O184" s="12" t="s">
        <v>758</v>
      </c>
      <c r="P184" s="12" t="s">
        <v>28</v>
      </c>
    </row>
    <row r="185" spans="1:16" x14ac:dyDescent="0.3">
      <c r="A185" s="12">
        <v>194</v>
      </c>
      <c r="B185" s="13" t="s">
        <v>400</v>
      </c>
      <c r="C185" s="12" t="s">
        <v>401</v>
      </c>
      <c r="D185" s="12" t="s">
        <v>351</v>
      </c>
      <c r="E185" s="12" t="s">
        <v>402</v>
      </c>
      <c r="F185" s="12">
        <v>924</v>
      </c>
      <c r="G185" s="12" t="s">
        <v>38</v>
      </c>
      <c r="H185" s="12">
        <v>17</v>
      </c>
      <c r="I185" s="12">
        <v>4</v>
      </c>
      <c r="J185" s="12">
        <v>13</v>
      </c>
      <c r="K185" s="14">
        <v>45415</v>
      </c>
      <c r="L185" s="14">
        <v>46270</v>
      </c>
      <c r="M185" s="12">
        <v>855</v>
      </c>
      <c r="N185" s="12">
        <v>360</v>
      </c>
      <c r="O185" s="12" t="s">
        <v>403</v>
      </c>
      <c r="P185" s="12" t="s">
        <v>34</v>
      </c>
    </row>
    <row r="186" spans="1:16" x14ac:dyDescent="0.3">
      <c r="A186" s="12">
        <v>223</v>
      </c>
      <c r="B186" s="13" t="s">
        <v>513</v>
      </c>
      <c r="C186" s="12" t="s">
        <v>514</v>
      </c>
      <c r="D186" s="12" t="s">
        <v>447</v>
      </c>
      <c r="E186" s="12" t="s">
        <v>515</v>
      </c>
      <c r="F186" s="12">
        <v>972</v>
      </c>
      <c r="G186" s="12" t="s">
        <v>38</v>
      </c>
      <c r="H186" s="12">
        <v>24</v>
      </c>
      <c r="I186" s="12">
        <v>17</v>
      </c>
      <c r="J186" s="12">
        <v>7</v>
      </c>
      <c r="K186" s="14">
        <v>45444</v>
      </c>
      <c r="L186" s="14">
        <v>46566</v>
      </c>
      <c r="M186" s="12">
        <v>1122</v>
      </c>
      <c r="N186" s="12">
        <v>340</v>
      </c>
      <c r="O186" s="12" t="s">
        <v>516</v>
      </c>
      <c r="P186" s="12" t="s">
        <v>28</v>
      </c>
    </row>
    <row r="187" spans="1:16" x14ac:dyDescent="0.3">
      <c r="A187" s="12">
        <v>199</v>
      </c>
      <c r="B187" s="13" t="s">
        <v>418</v>
      </c>
      <c r="C187" s="12" t="s">
        <v>419</v>
      </c>
      <c r="D187" s="12" t="s">
        <v>351</v>
      </c>
      <c r="E187" s="12" t="s">
        <v>420</v>
      </c>
      <c r="F187" s="12">
        <v>991</v>
      </c>
      <c r="G187" s="12" t="s">
        <v>32</v>
      </c>
      <c r="H187" s="12">
        <v>48</v>
      </c>
      <c r="I187" s="12">
        <v>33</v>
      </c>
      <c r="J187" s="12">
        <v>15</v>
      </c>
      <c r="K187" s="14">
        <v>45420</v>
      </c>
      <c r="L187" s="14">
        <v>46323</v>
      </c>
      <c r="M187" s="12">
        <v>903</v>
      </c>
      <c r="N187" s="12">
        <v>460</v>
      </c>
      <c r="O187" s="12" t="s">
        <v>421</v>
      </c>
      <c r="P187" s="12" t="s">
        <v>107</v>
      </c>
    </row>
    <row r="188" spans="1:16" x14ac:dyDescent="0.3">
      <c r="A188" s="12">
        <v>179</v>
      </c>
      <c r="B188" s="13" t="s">
        <v>341</v>
      </c>
      <c r="C188" s="12" t="s">
        <v>342</v>
      </c>
      <c r="D188" s="12" t="s">
        <v>310</v>
      </c>
      <c r="E188" s="12" t="s">
        <v>343</v>
      </c>
      <c r="F188" s="12">
        <v>676</v>
      </c>
      <c r="G188" s="12" t="s">
        <v>32</v>
      </c>
      <c r="H188" s="12">
        <v>19</v>
      </c>
      <c r="I188" s="12">
        <v>2</v>
      </c>
      <c r="J188" s="12">
        <v>17</v>
      </c>
      <c r="K188" s="14">
        <v>45400</v>
      </c>
      <c r="L188" s="14">
        <v>46115</v>
      </c>
      <c r="M188" s="12">
        <v>715</v>
      </c>
      <c r="N188" s="12">
        <v>180</v>
      </c>
      <c r="O188" s="12" t="s">
        <v>344</v>
      </c>
      <c r="P188" s="12" t="s">
        <v>28</v>
      </c>
    </row>
    <row r="189" spans="1:16" x14ac:dyDescent="0.3">
      <c r="A189" s="12">
        <v>215</v>
      </c>
      <c r="B189" s="13" t="s">
        <v>482</v>
      </c>
      <c r="C189" s="12" t="s">
        <v>483</v>
      </c>
      <c r="D189" s="12" t="s">
        <v>447</v>
      </c>
      <c r="E189" s="12" t="s">
        <v>484</v>
      </c>
      <c r="F189" s="12">
        <v>338</v>
      </c>
      <c r="G189" s="12" t="s">
        <v>38</v>
      </c>
      <c r="H189" s="12">
        <v>32</v>
      </c>
      <c r="I189" s="12">
        <v>27</v>
      </c>
      <c r="J189" s="12">
        <v>5</v>
      </c>
      <c r="K189" s="14">
        <v>45436</v>
      </c>
      <c r="L189" s="14">
        <v>46480</v>
      </c>
      <c r="M189" s="12">
        <v>1044</v>
      </c>
      <c r="N189" s="12">
        <v>180</v>
      </c>
      <c r="O189" s="12" t="s">
        <v>485</v>
      </c>
      <c r="P189" s="12" t="s">
        <v>34</v>
      </c>
    </row>
    <row r="190" spans="1:16" x14ac:dyDescent="0.3">
      <c r="A190" s="12">
        <v>256</v>
      </c>
      <c r="B190" s="13" t="s">
        <v>646</v>
      </c>
      <c r="C190" s="12" t="s">
        <v>647</v>
      </c>
      <c r="D190" s="12" t="s">
        <v>622</v>
      </c>
      <c r="E190" s="12" t="s">
        <v>648</v>
      </c>
      <c r="F190" s="12">
        <v>660</v>
      </c>
      <c r="G190" s="12" t="s">
        <v>38</v>
      </c>
      <c r="H190" s="12">
        <v>40</v>
      </c>
      <c r="I190" s="12">
        <v>25</v>
      </c>
      <c r="J190" s="12">
        <v>15</v>
      </c>
      <c r="K190" s="14">
        <v>45477</v>
      </c>
      <c r="L190" s="14">
        <v>46903</v>
      </c>
      <c r="M190" s="12">
        <v>1426</v>
      </c>
      <c r="N190" s="12">
        <v>180</v>
      </c>
      <c r="O190" s="12" t="s">
        <v>649</v>
      </c>
      <c r="P190" s="12" t="s">
        <v>28</v>
      </c>
    </row>
    <row r="191" spans="1:16" x14ac:dyDescent="0.3">
      <c r="A191" s="12">
        <v>233</v>
      </c>
      <c r="B191" s="13" t="s">
        <v>553</v>
      </c>
      <c r="C191" s="12" t="s">
        <v>554</v>
      </c>
      <c r="D191" s="12" t="s">
        <v>526</v>
      </c>
      <c r="E191" s="12" t="s">
        <v>555</v>
      </c>
      <c r="F191" s="12">
        <v>702</v>
      </c>
      <c r="G191" s="12" t="s">
        <v>38</v>
      </c>
      <c r="H191" s="12">
        <v>14</v>
      </c>
      <c r="I191" s="12">
        <v>3</v>
      </c>
      <c r="J191" s="12">
        <v>11</v>
      </c>
      <c r="K191" s="14">
        <v>45454</v>
      </c>
      <c r="L191" s="14">
        <v>46663</v>
      </c>
      <c r="M191" s="12">
        <v>1209</v>
      </c>
      <c r="N191" s="12">
        <v>140</v>
      </c>
      <c r="O191" s="12" t="s">
        <v>556</v>
      </c>
      <c r="P191" s="12" t="s">
        <v>34</v>
      </c>
    </row>
    <row r="192" spans="1:16" x14ac:dyDescent="0.3">
      <c r="A192" s="12">
        <v>107</v>
      </c>
      <c r="B192" s="13" t="s">
        <v>49</v>
      </c>
      <c r="C192" s="12" t="s">
        <v>50</v>
      </c>
      <c r="D192" s="12" t="s">
        <v>18</v>
      </c>
      <c r="E192" s="12" t="s">
        <v>51</v>
      </c>
      <c r="F192" s="12">
        <v>220</v>
      </c>
      <c r="G192" s="12" t="s">
        <v>26</v>
      </c>
      <c r="H192" s="12">
        <v>33</v>
      </c>
      <c r="I192" s="12">
        <v>15</v>
      </c>
      <c r="J192" s="12">
        <v>18</v>
      </c>
      <c r="K192" s="14">
        <v>45328</v>
      </c>
      <c r="L192" s="14">
        <v>45388</v>
      </c>
      <c r="M192" s="12">
        <v>60</v>
      </c>
      <c r="N192" s="12">
        <v>300</v>
      </c>
      <c r="O192" s="12" t="s">
        <v>52</v>
      </c>
      <c r="P192" s="12" t="s">
        <v>34</v>
      </c>
    </row>
    <row r="193" spans="1:16" x14ac:dyDescent="0.3">
      <c r="A193" s="12">
        <v>185</v>
      </c>
      <c r="B193" s="13" t="s">
        <v>364</v>
      </c>
      <c r="C193" s="12" t="s">
        <v>365</v>
      </c>
      <c r="D193" s="12" t="s">
        <v>351</v>
      </c>
      <c r="E193" s="12" t="s">
        <v>366</v>
      </c>
      <c r="F193" s="12">
        <v>401</v>
      </c>
      <c r="G193" s="12" t="s">
        <v>38</v>
      </c>
      <c r="H193" s="12">
        <v>13</v>
      </c>
      <c r="I193" s="12">
        <v>8</v>
      </c>
      <c r="J193" s="12">
        <v>5</v>
      </c>
      <c r="K193" s="14">
        <v>45406</v>
      </c>
      <c r="L193" s="14">
        <v>46175</v>
      </c>
      <c r="M193" s="12">
        <v>769</v>
      </c>
      <c r="N193" s="12">
        <v>340</v>
      </c>
      <c r="O193" s="12" t="s">
        <v>367</v>
      </c>
      <c r="P193" s="12" t="s">
        <v>28</v>
      </c>
    </row>
    <row r="194" spans="1:16" x14ac:dyDescent="0.3">
      <c r="A194" s="12">
        <v>283</v>
      </c>
      <c r="B194" s="13" t="s">
        <v>751</v>
      </c>
      <c r="C194" s="12" t="s">
        <v>752</v>
      </c>
      <c r="D194" s="12" t="s">
        <v>727</v>
      </c>
      <c r="E194" s="12" t="s">
        <v>753</v>
      </c>
      <c r="F194" s="12">
        <v>995</v>
      </c>
      <c r="G194" s="12" t="s">
        <v>26</v>
      </c>
      <c r="H194" s="12">
        <v>13</v>
      </c>
      <c r="I194" s="12">
        <v>3</v>
      </c>
      <c r="J194" s="12">
        <v>10</v>
      </c>
      <c r="K194" s="14">
        <v>45871</v>
      </c>
      <c r="L194" s="14">
        <v>45884</v>
      </c>
      <c r="M194" s="12">
        <v>13</v>
      </c>
      <c r="N194" s="12">
        <v>280</v>
      </c>
      <c r="O194" s="12" t="s">
        <v>754</v>
      </c>
      <c r="P194" s="12" t="s">
        <v>107</v>
      </c>
    </row>
    <row r="195" spans="1:16" x14ac:dyDescent="0.3">
      <c r="A195" s="12">
        <v>196</v>
      </c>
      <c r="B195" s="13" t="s">
        <v>408</v>
      </c>
      <c r="C195" s="12" t="s">
        <v>362</v>
      </c>
      <c r="D195" s="12" t="s">
        <v>351</v>
      </c>
      <c r="E195" s="12" t="s">
        <v>409</v>
      </c>
      <c r="F195" s="12">
        <v>948</v>
      </c>
      <c r="G195" s="12" t="s">
        <v>20</v>
      </c>
      <c r="H195" s="12">
        <v>19</v>
      </c>
      <c r="I195" s="12">
        <v>2</v>
      </c>
      <c r="J195" s="12">
        <v>17</v>
      </c>
      <c r="K195" s="14">
        <v>45417</v>
      </c>
      <c r="L195" s="14">
        <v>46295</v>
      </c>
      <c r="M195" s="12">
        <v>878</v>
      </c>
      <c r="N195" s="12">
        <v>400</v>
      </c>
      <c r="O195" s="12" t="s">
        <v>254</v>
      </c>
      <c r="P195" s="12" t="s">
        <v>34</v>
      </c>
    </row>
    <row r="196" spans="1:16" x14ac:dyDescent="0.3">
      <c r="A196" s="12">
        <v>277</v>
      </c>
      <c r="B196" s="13" t="s">
        <v>730</v>
      </c>
      <c r="C196" s="12" t="s">
        <v>731</v>
      </c>
      <c r="D196" s="12" t="s">
        <v>727</v>
      </c>
      <c r="E196" s="12" t="s">
        <v>732</v>
      </c>
      <c r="F196" s="12">
        <v>995</v>
      </c>
      <c r="G196" s="12" t="s">
        <v>32</v>
      </c>
      <c r="H196" s="12">
        <v>19</v>
      </c>
      <c r="I196" s="12">
        <v>7</v>
      </c>
      <c r="J196" s="12">
        <v>12</v>
      </c>
      <c r="K196" s="14">
        <v>45877</v>
      </c>
      <c r="L196" s="14">
        <v>47117</v>
      </c>
      <c r="M196" s="12">
        <v>1240</v>
      </c>
      <c r="N196" s="12">
        <v>160</v>
      </c>
      <c r="O196" s="12" t="s">
        <v>516</v>
      </c>
      <c r="P196" s="12" t="s">
        <v>28</v>
      </c>
    </row>
    <row r="197" spans="1:16" x14ac:dyDescent="0.3">
      <c r="A197" s="12">
        <v>117</v>
      </c>
      <c r="B197" s="13" t="s">
        <v>91</v>
      </c>
      <c r="C197" s="12" t="s">
        <v>92</v>
      </c>
      <c r="D197" s="12" t="s">
        <v>18</v>
      </c>
      <c r="E197" s="12" t="s">
        <v>93</v>
      </c>
      <c r="F197" s="12">
        <v>863</v>
      </c>
      <c r="G197" s="12" t="s">
        <v>65</v>
      </c>
      <c r="H197" s="12">
        <v>32</v>
      </c>
      <c r="I197" s="12">
        <v>27</v>
      </c>
      <c r="J197" s="12">
        <v>5</v>
      </c>
      <c r="K197" s="14">
        <v>45338</v>
      </c>
      <c r="L197" s="14">
        <v>45491</v>
      </c>
      <c r="M197" s="12">
        <v>153</v>
      </c>
      <c r="N197" s="12">
        <v>540</v>
      </c>
      <c r="O197" s="12" t="s">
        <v>94</v>
      </c>
      <c r="P197" s="12" t="s">
        <v>28</v>
      </c>
    </row>
    <row r="198" spans="1:16" x14ac:dyDescent="0.3">
      <c r="A198" s="12">
        <v>242</v>
      </c>
      <c r="B198" s="13" t="s">
        <v>590</v>
      </c>
      <c r="C198" s="12" t="s">
        <v>591</v>
      </c>
      <c r="D198" s="12" t="s">
        <v>567</v>
      </c>
      <c r="E198" s="12" t="s">
        <v>592</v>
      </c>
      <c r="F198" s="12">
        <v>812</v>
      </c>
      <c r="G198" s="12" t="s">
        <v>38</v>
      </c>
      <c r="H198" s="12">
        <v>12</v>
      </c>
      <c r="I198" s="12">
        <v>5</v>
      </c>
      <c r="J198" s="12">
        <v>7</v>
      </c>
      <c r="K198" s="14">
        <v>45463</v>
      </c>
      <c r="L198" s="14">
        <v>46756</v>
      </c>
      <c r="M198" s="12">
        <v>1293</v>
      </c>
      <c r="N198" s="12">
        <v>320</v>
      </c>
      <c r="O198" s="12" t="s">
        <v>593</v>
      </c>
      <c r="P198" s="12" t="s">
        <v>22</v>
      </c>
    </row>
    <row r="199" spans="1:16" x14ac:dyDescent="0.3">
      <c r="A199" s="12">
        <v>238</v>
      </c>
      <c r="B199" s="13" t="s">
        <v>574</v>
      </c>
      <c r="C199" s="12" t="s">
        <v>575</v>
      </c>
      <c r="D199" s="12" t="s">
        <v>567</v>
      </c>
      <c r="E199" s="12" t="s">
        <v>576</v>
      </c>
      <c r="F199" s="12">
        <v>883</v>
      </c>
      <c r="G199" s="12" t="s">
        <v>20</v>
      </c>
      <c r="H199" s="12">
        <v>9</v>
      </c>
      <c r="I199" s="12">
        <v>8</v>
      </c>
      <c r="J199" s="12">
        <v>1</v>
      </c>
      <c r="K199" s="14">
        <v>45459</v>
      </c>
      <c r="L199" s="14">
        <v>46720</v>
      </c>
      <c r="M199" s="12">
        <v>1261</v>
      </c>
      <c r="N199" s="12">
        <v>240</v>
      </c>
      <c r="O199" s="12" t="s">
        <v>577</v>
      </c>
      <c r="P199" s="12" t="s">
        <v>34</v>
      </c>
    </row>
    <row r="200" spans="1:16" x14ac:dyDescent="0.3">
      <c r="A200" s="12">
        <v>169</v>
      </c>
      <c r="B200" s="13" t="s">
        <v>302</v>
      </c>
      <c r="C200" s="12" t="s">
        <v>303</v>
      </c>
      <c r="D200" s="12" t="s">
        <v>271</v>
      </c>
      <c r="E200" s="12" t="s">
        <v>304</v>
      </c>
      <c r="F200" s="12">
        <v>234</v>
      </c>
      <c r="G200" s="12" t="s">
        <v>32</v>
      </c>
      <c r="H200" s="12">
        <v>29</v>
      </c>
      <c r="I200" s="12">
        <v>12</v>
      </c>
      <c r="J200" s="12">
        <v>17</v>
      </c>
      <c r="K200" s="14">
        <v>45390</v>
      </c>
      <c r="L200" s="14">
        <v>46021</v>
      </c>
      <c r="M200" s="12">
        <v>631</v>
      </c>
      <c r="N200" s="12">
        <v>100</v>
      </c>
      <c r="O200" s="12" t="s">
        <v>305</v>
      </c>
      <c r="P200" s="12" t="s">
        <v>28</v>
      </c>
    </row>
  </sheetData>
  <sortState xmlns:xlrd2="http://schemas.microsoft.com/office/spreadsheetml/2017/richdata2" ref="A2:P200">
    <sortCondition ref="B2:B20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C4721-8F9E-411A-BFA6-F51372B59330}">
  <dimension ref="A3:K24"/>
  <sheetViews>
    <sheetView workbookViewId="0">
      <selection activeCell="K12" sqref="K12"/>
    </sheetView>
  </sheetViews>
  <sheetFormatPr defaultRowHeight="14.4" x14ac:dyDescent="0.3"/>
  <cols>
    <col min="1" max="1" width="21.109375" bestFit="1" customWidth="1"/>
    <col min="2" max="2" width="14.6640625" bestFit="1" customWidth="1"/>
    <col min="4" max="4" width="12.5546875" bestFit="1" customWidth="1"/>
    <col min="5" max="5" width="14.6640625" bestFit="1" customWidth="1"/>
    <col min="7" max="7" width="12.5546875" bestFit="1" customWidth="1"/>
    <col min="8" max="8" width="14.6640625" bestFit="1" customWidth="1"/>
    <col min="10" max="10" width="12.5546875" bestFit="1" customWidth="1"/>
    <col min="11" max="11" width="14.6640625" bestFit="1" customWidth="1"/>
  </cols>
  <sheetData>
    <row r="3" spans="1:11" x14ac:dyDescent="0.3">
      <c r="A3" s="16" t="s">
        <v>837</v>
      </c>
      <c r="B3" t="s">
        <v>839</v>
      </c>
      <c r="D3" s="16" t="s">
        <v>837</v>
      </c>
      <c r="E3" t="s">
        <v>839</v>
      </c>
      <c r="G3" s="16" t="s">
        <v>837</v>
      </c>
      <c r="H3" t="s">
        <v>839</v>
      </c>
      <c r="J3" s="16" t="s">
        <v>837</v>
      </c>
      <c r="K3" t="s">
        <v>839</v>
      </c>
    </row>
    <row r="4" spans="1:11" x14ac:dyDescent="0.3">
      <c r="A4" s="17" t="s">
        <v>567</v>
      </c>
      <c r="B4">
        <v>2405</v>
      </c>
      <c r="D4" s="17" t="s">
        <v>22</v>
      </c>
      <c r="E4">
        <v>5254</v>
      </c>
      <c r="G4" s="17" t="s">
        <v>32</v>
      </c>
      <c r="H4">
        <v>9875</v>
      </c>
      <c r="J4" s="17" t="s">
        <v>840</v>
      </c>
      <c r="K4">
        <v>37005</v>
      </c>
    </row>
    <row r="5" spans="1:11" x14ac:dyDescent="0.3">
      <c r="A5" s="17" t="s">
        <v>271</v>
      </c>
      <c r="B5">
        <v>1655</v>
      </c>
      <c r="D5" s="17" t="s">
        <v>28</v>
      </c>
      <c r="E5">
        <v>24087</v>
      </c>
      <c r="G5" s="17" t="s">
        <v>38</v>
      </c>
      <c r="H5">
        <v>8248</v>
      </c>
      <c r="J5" s="17" t="s">
        <v>841</v>
      </c>
      <c r="K5">
        <v>2795</v>
      </c>
    </row>
    <row r="6" spans="1:11" x14ac:dyDescent="0.3">
      <c r="A6" s="17" t="s">
        <v>447</v>
      </c>
      <c r="B6">
        <v>4310</v>
      </c>
      <c r="D6" s="17" t="s">
        <v>34</v>
      </c>
      <c r="E6">
        <v>9053</v>
      </c>
      <c r="G6" s="17" t="s">
        <v>20</v>
      </c>
      <c r="H6">
        <v>8188</v>
      </c>
      <c r="J6" s="17" t="s">
        <v>838</v>
      </c>
      <c r="K6">
        <v>39800</v>
      </c>
    </row>
    <row r="7" spans="1:11" x14ac:dyDescent="0.3">
      <c r="A7" s="17" t="s">
        <v>232</v>
      </c>
      <c r="B7">
        <v>1555</v>
      </c>
      <c r="D7" s="17" t="s">
        <v>107</v>
      </c>
      <c r="E7">
        <v>1406</v>
      </c>
      <c r="G7" s="17" t="s">
        <v>26</v>
      </c>
      <c r="H7">
        <v>5645</v>
      </c>
    </row>
    <row r="8" spans="1:11" x14ac:dyDescent="0.3">
      <c r="A8" s="17" t="s">
        <v>526</v>
      </c>
      <c r="B8">
        <v>2305</v>
      </c>
      <c r="D8" s="17" t="s">
        <v>838</v>
      </c>
      <c r="E8">
        <v>39800</v>
      </c>
      <c r="G8" s="17" t="s">
        <v>65</v>
      </c>
      <c r="H8">
        <v>7844</v>
      </c>
    </row>
    <row r="9" spans="1:11" x14ac:dyDescent="0.3">
      <c r="A9" s="17" t="s">
        <v>18</v>
      </c>
      <c r="B9">
        <v>3078</v>
      </c>
      <c r="G9" s="17" t="s">
        <v>838</v>
      </c>
      <c r="H9">
        <v>39800</v>
      </c>
    </row>
    <row r="10" spans="1:11" x14ac:dyDescent="0.3">
      <c r="A10" s="17" t="s">
        <v>425</v>
      </c>
      <c r="B10">
        <v>1015</v>
      </c>
    </row>
    <row r="11" spans="1:11" x14ac:dyDescent="0.3">
      <c r="A11" s="17" t="s">
        <v>668</v>
      </c>
      <c r="B11">
        <v>1315</v>
      </c>
    </row>
    <row r="12" spans="1:11" x14ac:dyDescent="0.3">
      <c r="A12" s="17" t="s">
        <v>351</v>
      </c>
      <c r="B12">
        <v>3810</v>
      </c>
    </row>
    <row r="13" spans="1:11" x14ac:dyDescent="0.3">
      <c r="A13" s="17" t="s">
        <v>310</v>
      </c>
      <c r="B13">
        <v>1755</v>
      </c>
    </row>
    <row r="14" spans="1:11" x14ac:dyDescent="0.3">
      <c r="A14" s="17" t="s">
        <v>727</v>
      </c>
      <c r="B14">
        <v>2805</v>
      </c>
    </row>
    <row r="15" spans="1:11" x14ac:dyDescent="0.3">
      <c r="A15" s="17" t="s">
        <v>608</v>
      </c>
      <c r="B15">
        <v>1240</v>
      </c>
    </row>
    <row r="16" spans="1:11" x14ac:dyDescent="0.3">
      <c r="A16" s="17" t="s">
        <v>688</v>
      </c>
      <c r="B16">
        <v>2705</v>
      </c>
    </row>
    <row r="17" spans="1:2" x14ac:dyDescent="0.3">
      <c r="A17" s="17" t="s">
        <v>138</v>
      </c>
      <c r="B17">
        <v>1463</v>
      </c>
    </row>
    <row r="18" spans="1:2" x14ac:dyDescent="0.3">
      <c r="A18" s="17" t="s">
        <v>630</v>
      </c>
      <c r="B18">
        <v>777</v>
      </c>
    </row>
    <row r="19" spans="1:2" x14ac:dyDescent="0.3">
      <c r="A19" s="17" t="s">
        <v>183</v>
      </c>
      <c r="B19">
        <v>1734</v>
      </c>
    </row>
    <row r="20" spans="1:2" x14ac:dyDescent="0.3">
      <c r="A20" s="17" t="s">
        <v>606</v>
      </c>
      <c r="B20">
        <v>1265</v>
      </c>
    </row>
    <row r="21" spans="1:2" x14ac:dyDescent="0.3">
      <c r="A21" s="17" t="s">
        <v>806</v>
      </c>
      <c r="B21">
        <v>1190</v>
      </c>
    </row>
    <row r="22" spans="1:2" x14ac:dyDescent="0.3">
      <c r="A22" s="17" t="s">
        <v>765</v>
      </c>
      <c r="B22">
        <v>2905</v>
      </c>
    </row>
    <row r="23" spans="1:2" x14ac:dyDescent="0.3">
      <c r="A23" s="17" t="s">
        <v>622</v>
      </c>
      <c r="B23">
        <v>513</v>
      </c>
    </row>
    <row r="24" spans="1:2" x14ac:dyDescent="0.3">
      <c r="A24" s="17" t="s">
        <v>838</v>
      </c>
      <c r="B24">
        <v>39800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D9A1E-3379-4743-B1B3-EDA683D43DE0}">
  <dimension ref="A1:L200"/>
  <sheetViews>
    <sheetView tabSelected="1" zoomScale="54" workbookViewId="0">
      <selection activeCell="J22" sqref="J22"/>
    </sheetView>
  </sheetViews>
  <sheetFormatPr defaultRowHeight="14.4" x14ac:dyDescent="0.3"/>
  <cols>
    <col min="1" max="1" width="25.21875" bestFit="1" customWidth="1"/>
    <col min="2" max="2" width="27.44140625" bestFit="1" customWidth="1"/>
    <col min="3" max="3" width="19.21875" bestFit="1" customWidth="1"/>
    <col min="4" max="4" width="21.109375" bestFit="1" customWidth="1"/>
    <col min="5" max="5" width="15.109375" bestFit="1" customWidth="1"/>
    <col min="8" max="8" width="12.5546875" bestFit="1" customWidth="1"/>
    <col min="9" max="9" width="19.5546875" bestFit="1" customWidth="1"/>
    <col min="10" max="10" width="18.88671875" bestFit="1" customWidth="1"/>
    <col min="11" max="11" width="27.44140625" bestFit="1" customWidth="1"/>
    <col min="12" max="12" width="10.33203125" bestFit="1" customWidth="1"/>
    <col min="13" max="13" width="17.77734375" bestFit="1" customWidth="1"/>
    <col min="14" max="14" width="11.77734375" bestFit="1" customWidth="1"/>
    <col min="15" max="15" width="13.21875" bestFit="1" customWidth="1"/>
    <col min="16" max="16" width="14.21875" bestFit="1" customWidth="1"/>
  </cols>
  <sheetData>
    <row r="1" spans="1:12" x14ac:dyDescent="0.3">
      <c r="A1" s="16" t="s">
        <v>837</v>
      </c>
      <c r="B1" t="s">
        <v>839</v>
      </c>
    </row>
    <row r="2" spans="1:12" x14ac:dyDescent="0.3">
      <c r="A2" s="17" t="s">
        <v>567</v>
      </c>
      <c r="B2">
        <v>2405</v>
      </c>
      <c r="K2" s="18"/>
      <c r="L2" s="18"/>
    </row>
    <row r="3" spans="1:12" x14ac:dyDescent="0.3">
      <c r="A3" s="17" t="s">
        <v>271</v>
      </c>
      <c r="B3">
        <v>1655</v>
      </c>
      <c r="J3" s="16" t="s">
        <v>837</v>
      </c>
      <c r="K3" t="s">
        <v>842</v>
      </c>
      <c r="L3" s="18"/>
    </row>
    <row r="4" spans="1:12" x14ac:dyDescent="0.3">
      <c r="A4" s="17" t="s">
        <v>447</v>
      </c>
      <c r="B4">
        <v>4310</v>
      </c>
      <c r="J4" s="17" t="s">
        <v>32</v>
      </c>
      <c r="K4">
        <v>777</v>
      </c>
      <c r="L4" s="18"/>
    </row>
    <row r="5" spans="1:12" x14ac:dyDescent="0.3">
      <c r="A5" s="17" t="s">
        <v>232</v>
      </c>
      <c r="B5">
        <v>1555</v>
      </c>
      <c r="J5" s="17" t="s">
        <v>38</v>
      </c>
      <c r="K5">
        <v>735</v>
      </c>
      <c r="L5" s="18"/>
    </row>
    <row r="6" spans="1:12" x14ac:dyDescent="0.3">
      <c r="A6" s="17" t="s">
        <v>526</v>
      </c>
      <c r="B6">
        <v>2305</v>
      </c>
      <c r="J6" s="17" t="s">
        <v>20</v>
      </c>
      <c r="K6">
        <v>546</v>
      </c>
      <c r="L6" s="18"/>
    </row>
    <row r="7" spans="1:12" x14ac:dyDescent="0.3">
      <c r="A7" s="17" t="s">
        <v>18</v>
      </c>
      <c r="B7">
        <v>3078</v>
      </c>
      <c r="J7" s="17" t="s">
        <v>26</v>
      </c>
      <c r="K7">
        <v>363</v>
      </c>
      <c r="L7" s="18"/>
    </row>
    <row r="8" spans="1:12" x14ac:dyDescent="0.3">
      <c r="A8" s="17" t="s">
        <v>425</v>
      </c>
      <c r="B8">
        <v>1015</v>
      </c>
      <c r="J8" s="17" t="s">
        <v>65</v>
      </c>
      <c r="K8">
        <v>540</v>
      </c>
      <c r="L8" s="18"/>
    </row>
    <row r="9" spans="1:12" x14ac:dyDescent="0.3">
      <c r="A9" s="17" t="s">
        <v>668</v>
      </c>
      <c r="B9">
        <v>1315</v>
      </c>
      <c r="J9" s="17" t="s">
        <v>838</v>
      </c>
      <c r="K9">
        <v>2961</v>
      </c>
      <c r="L9" s="18"/>
    </row>
    <row r="10" spans="1:12" x14ac:dyDescent="0.3">
      <c r="A10" s="17" t="s">
        <v>351</v>
      </c>
      <c r="B10">
        <v>3810</v>
      </c>
      <c r="K10" s="18"/>
      <c r="L10" s="18"/>
    </row>
    <row r="11" spans="1:12" x14ac:dyDescent="0.3">
      <c r="A11" s="17" t="s">
        <v>310</v>
      </c>
      <c r="B11">
        <v>1755</v>
      </c>
      <c r="K11" s="18"/>
      <c r="L11" s="18"/>
    </row>
    <row r="12" spans="1:12" x14ac:dyDescent="0.3">
      <c r="A12" s="17" t="s">
        <v>727</v>
      </c>
      <c r="B12">
        <v>2805</v>
      </c>
      <c r="K12" s="18"/>
      <c r="L12" s="18"/>
    </row>
    <row r="13" spans="1:12" x14ac:dyDescent="0.3">
      <c r="A13" s="17" t="s">
        <v>608</v>
      </c>
      <c r="B13">
        <v>1240</v>
      </c>
      <c r="K13" s="18"/>
      <c r="L13" s="18"/>
    </row>
    <row r="14" spans="1:12" x14ac:dyDescent="0.3">
      <c r="A14" s="17" t="s">
        <v>688</v>
      </c>
      <c r="B14">
        <v>2705</v>
      </c>
      <c r="K14" s="18"/>
      <c r="L14" s="18"/>
    </row>
    <row r="15" spans="1:12" x14ac:dyDescent="0.3">
      <c r="A15" s="17" t="s">
        <v>138</v>
      </c>
      <c r="B15">
        <v>1463</v>
      </c>
      <c r="K15" s="18"/>
      <c r="L15" s="18"/>
    </row>
    <row r="16" spans="1:12" x14ac:dyDescent="0.3">
      <c r="A16" s="17" t="s">
        <v>630</v>
      </c>
      <c r="B16">
        <v>777</v>
      </c>
      <c r="K16" s="18"/>
      <c r="L16" s="18"/>
    </row>
    <row r="17" spans="1:12" x14ac:dyDescent="0.3">
      <c r="A17" s="17" t="s">
        <v>183</v>
      </c>
      <c r="B17">
        <v>1734</v>
      </c>
      <c r="K17" s="18"/>
      <c r="L17" s="18"/>
    </row>
    <row r="18" spans="1:12" x14ac:dyDescent="0.3">
      <c r="A18" s="17" t="s">
        <v>606</v>
      </c>
      <c r="B18">
        <v>1265</v>
      </c>
      <c r="K18" s="18"/>
      <c r="L18" s="18"/>
    </row>
    <row r="19" spans="1:12" x14ac:dyDescent="0.3">
      <c r="A19" s="17" t="s">
        <v>806</v>
      </c>
      <c r="B19">
        <v>1190</v>
      </c>
      <c r="K19" s="18"/>
      <c r="L19" s="18"/>
    </row>
    <row r="20" spans="1:12" x14ac:dyDescent="0.3">
      <c r="A20" s="17" t="s">
        <v>765</v>
      </c>
      <c r="B20">
        <v>2905</v>
      </c>
      <c r="K20" s="18"/>
      <c r="L20" s="18"/>
    </row>
    <row r="21" spans="1:12" x14ac:dyDescent="0.3">
      <c r="A21" s="17" t="s">
        <v>622</v>
      </c>
      <c r="B21">
        <v>513</v>
      </c>
      <c r="K21" s="18"/>
      <c r="L21" s="18"/>
    </row>
    <row r="22" spans="1:12" x14ac:dyDescent="0.3">
      <c r="A22" s="17" t="s">
        <v>838</v>
      </c>
      <c r="B22">
        <v>39800</v>
      </c>
      <c r="K22" s="18"/>
      <c r="L22" s="18"/>
    </row>
    <row r="23" spans="1:12" x14ac:dyDescent="0.3">
      <c r="K23" s="18"/>
      <c r="L23" s="18"/>
    </row>
    <row r="24" spans="1:12" x14ac:dyDescent="0.3">
      <c r="L24" s="18"/>
    </row>
    <row r="25" spans="1:12" x14ac:dyDescent="0.3">
      <c r="L25" s="18"/>
    </row>
    <row r="26" spans="1:12" x14ac:dyDescent="0.3">
      <c r="L26" s="18"/>
    </row>
    <row r="27" spans="1:12" x14ac:dyDescent="0.3">
      <c r="L27" s="18"/>
    </row>
    <row r="28" spans="1:12" x14ac:dyDescent="0.3">
      <c r="L28" s="18"/>
    </row>
    <row r="29" spans="1:12" x14ac:dyDescent="0.3">
      <c r="L29" s="18"/>
    </row>
    <row r="30" spans="1:12" x14ac:dyDescent="0.3">
      <c r="L30" s="18"/>
    </row>
    <row r="31" spans="1:12" x14ac:dyDescent="0.3">
      <c r="J31" s="16" t="s">
        <v>837</v>
      </c>
      <c r="K31" t="s">
        <v>842</v>
      </c>
      <c r="L31" s="18"/>
    </row>
    <row r="32" spans="1:12" x14ac:dyDescent="0.3">
      <c r="J32" s="17" t="s">
        <v>843</v>
      </c>
      <c r="K32">
        <v>23</v>
      </c>
      <c r="L32" s="18"/>
    </row>
    <row r="33" spans="1:12" x14ac:dyDescent="0.3">
      <c r="A33" s="16" t="s">
        <v>837</v>
      </c>
      <c r="B33" t="s">
        <v>842</v>
      </c>
      <c r="J33" s="17" t="s">
        <v>844</v>
      </c>
      <c r="K33">
        <v>658</v>
      </c>
      <c r="L33" s="18"/>
    </row>
    <row r="34" spans="1:12" x14ac:dyDescent="0.3">
      <c r="A34" s="17" t="s">
        <v>22</v>
      </c>
      <c r="B34">
        <v>434</v>
      </c>
      <c r="J34" s="17" t="s">
        <v>845</v>
      </c>
      <c r="K34">
        <v>490</v>
      </c>
      <c r="L34" s="18"/>
    </row>
    <row r="35" spans="1:12" x14ac:dyDescent="0.3">
      <c r="A35" s="17" t="s">
        <v>28</v>
      </c>
      <c r="B35">
        <v>1738</v>
      </c>
      <c r="J35" s="17" t="s">
        <v>846</v>
      </c>
      <c r="K35">
        <v>322</v>
      </c>
      <c r="L35" s="18"/>
    </row>
    <row r="36" spans="1:12" x14ac:dyDescent="0.3">
      <c r="A36" s="17" t="s">
        <v>34</v>
      </c>
      <c r="B36">
        <v>682</v>
      </c>
      <c r="J36" s="17" t="s">
        <v>847</v>
      </c>
      <c r="K36">
        <v>636</v>
      </c>
      <c r="L36" s="18"/>
    </row>
    <row r="37" spans="1:12" x14ac:dyDescent="0.3">
      <c r="A37" s="17" t="s">
        <v>107</v>
      </c>
      <c r="B37">
        <v>107</v>
      </c>
      <c r="J37" s="17" t="s">
        <v>848</v>
      </c>
      <c r="K37">
        <v>368</v>
      </c>
      <c r="L37" s="18"/>
    </row>
    <row r="38" spans="1:12" x14ac:dyDescent="0.3">
      <c r="A38" s="17" t="s">
        <v>838</v>
      </c>
      <c r="B38">
        <v>2961</v>
      </c>
      <c r="J38" s="17" t="s">
        <v>849</v>
      </c>
      <c r="K38">
        <v>422</v>
      </c>
      <c r="L38" s="18"/>
    </row>
    <row r="39" spans="1:12" x14ac:dyDescent="0.3">
      <c r="J39" s="17" t="s">
        <v>850</v>
      </c>
      <c r="K39">
        <v>42</v>
      </c>
      <c r="L39" s="18"/>
    </row>
    <row r="40" spans="1:12" x14ac:dyDescent="0.3">
      <c r="J40" s="17" t="s">
        <v>838</v>
      </c>
      <c r="K40">
        <v>2961</v>
      </c>
      <c r="L40" s="18"/>
    </row>
    <row r="41" spans="1:12" x14ac:dyDescent="0.3">
      <c r="K41" s="18"/>
      <c r="L41" s="18"/>
    </row>
    <row r="42" spans="1:12" x14ac:dyDescent="0.3">
      <c r="K42" s="18"/>
      <c r="L42" s="18"/>
    </row>
    <row r="43" spans="1:12" x14ac:dyDescent="0.3">
      <c r="K43" s="18"/>
      <c r="L43" s="18"/>
    </row>
    <row r="44" spans="1:12" x14ac:dyDescent="0.3">
      <c r="K44" s="18"/>
      <c r="L44" s="18"/>
    </row>
    <row r="45" spans="1:12" x14ac:dyDescent="0.3">
      <c r="K45" s="18"/>
      <c r="L45" s="18"/>
    </row>
    <row r="46" spans="1:12" x14ac:dyDescent="0.3">
      <c r="K46" s="18"/>
      <c r="L46" s="18"/>
    </row>
    <row r="47" spans="1:12" x14ac:dyDescent="0.3">
      <c r="K47" s="18"/>
      <c r="L47" s="18"/>
    </row>
    <row r="48" spans="1:12" x14ac:dyDescent="0.3">
      <c r="K48" s="18"/>
      <c r="L48" s="18"/>
    </row>
    <row r="49" spans="11:12" x14ac:dyDescent="0.3">
      <c r="K49" s="18"/>
      <c r="L49" s="18"/>
    </row>
    <row r="50" spans="11:12" x14ac:dyDescent="0.3">
      <c r="K50" s="18"/>
      <c r="L50" s="18"/>
    </row>
    <row r="51" spans="11:12" x14ac:dyDescent="0.3">
      <c r="K51" s="18"/>
      <c r="L51" s="18"/>
    </row>
    <row r="52" spans="11:12" x14ac:dyDescent="0.3">
      <c r="K52" s="18"/>
      <c r="L52" s="18"/>
    </row>
    <row r="53" spans="11:12" x14ac:dyDescent="0.3">
      <c r="K53" s="18"/>
      <c r="L53" s="18"/>
    </row>
    <row r="54" spans="11:12" x14ac:dyDescent="0.3">
      <c r="K54" s="18"/>
      <c r="L54" s="18"/>
    </row>
    <row r="55" spans="11:12" x14ac:dyDescent="0.3">
      <c r="K55" s="18"/>
      <c r="L55" s="18"/>
    </row>
    <row r="56" spans="11:12" x14ac:dyDescent="0.3">
      <c r="K56" s="18"/>
      <c r="L56" s="18"/>
    </row>
    <row r="57" spans="11:12" x14ac:dyDescent="0.3">
      <c r="K57" s="18"/>
      <c r="L57" s="18"/>
    </row>
    <row r="58" spans="11:12" x14ac:dyDescent="0.3">
      <c r="K58" s="18"/>
      <c r="L58" s="18"/>
    </row>
    <row r="59" spans="11:12" x14ac:dyDescent="0.3">
      <c r="K59" s="18"/>
      <c r="L59" s="18"/>
    </row>
    <row r="60" spans="11:12" x14ac:dyDescent="0.3">
      <c r="K60" s="18"/>
      <c r="L60" s="18"/>
    </row>
    <row r="61" spans="11:12" x14ac:dyDescent="0.3">
      <c r="K61" s="18"/>
      <c r="L61" s="18"/>
    </row>
    <row r="62" spans="11:12" x14ac:dyDescent="0.3">
      <c r="K62" s="18"/>
      <c r="L62" s="18"/>
    </row>
    <row r="63" spans="11:12" x14ac:dyDescent="0.3">
      <c r="K63" s="18"/>
      <c r="L63" s="18"/>
    </row>
    <row r="64" spans="11:12" x14ac:dyDescent="0.3">
      <c r="K64" s="18"/>
      <c r="L64" s="18"/>
    </row>
    <row r="65" spans="11:12" x14ac:dyDescent="0.3">
      <c r="K65" s="18"/>
      <c r="L65" s="18"/>
    </row>
    <row r="66" spans="11:12" x14ac:dyDescent="0.3">
      <c r="K66" s="18"/>
      <c r="L66" s="18"/>
    </row>
    <row r="67" spans="11:12" x14ac:dyDescent="0.3">
      <c r="K67" s="18"/>
      <c r="L67" s="18"/>
    </row>
    <row r="68" spans="11:12" x14ac:dyDescent="0.3">
      <c r="K68" s="18"/>
      <c r="L68" s="18"/>
    </row>
    <row r="69" spans="11:12" x14ac:dyDescent="0.3">
      <c r="K69" s="18"/>
      <c r="L69" s="18"/>
    </row>
    <row r="70" spans="11:12" x14ac:dyDescent="0.3">
      <c r="K70" s="18"/>
      <c r="L70" s="18"/>
    </row>
    <row r="71" spans="11:12" x14ac:dyDescent="0.3">
      <c r="K71" s="18"/>
      <c r="L71" s="18"/>
    </row>
    <row r="72" spans="11:12" x14ac:dyDescent="0.3">
      <c r="K72" s="18"/>
      <c r="L72" s="18"/>
    </row>
    <row r="73" spans="11:12" x14ac:dyDescent="0.3">
      <c r="K73" s="18"/>
      <c r="L73" s="18"/>
    </row>
    <row r="74" spans="11:12" x14ac:dyDescent="0.3">
      <c r="K74" s="18"/>
      <c r="L74" s="18"/>
    </row>
    <row r="75" spans="11:12" x14ac:dyDescent="0.3">
      <c r="K75" s="18"/>
      <c r="L75" s="18"/>
    </row>
    <row r="76" spans="11:12" x14ac:dyDescent="0.3">
      <c r="K76" s="18"/>
      <c r="L76" s="18"/>
    </row>
    <row r="77" spans="11:12" x14ac:dyDescent="0.3">
      <c r="K77" s="18"/>
      <c r="L77" s="18"/>
    </row>
    <row r="78" spans="11:12" x14ac:dyDescent="0.3">
      <c r="K78" s="18"/>
      <c r="L78" s="18"/>
    </row>
    <row r="79" spans="11:12" x14ac:dyDescent="0.3">
      <c r="K79" s="18"/>
      <c r="L79" s="18"/>
    </row>
    <row r="80" spans="11:12" x14ac:dyDescent="0.3">
      <c r="K80" s="18"/>
      <c r="L80" s="18"/>
    </row>
    <row r="81" spans="11:12" x14ac:dyDescent="0.3">
      <c r="K81" s="18"/>
      <c r="L81" s="18"/>
    </row>
    <row r="82" spans="11:12" x14ac:dyDescent="0.3">
      <c r="K82" s="18"/>
      <c r="L82" s="18"/>
    </row>
    <row r="83" spans="11:12" x14ac:dyDescent="0.3">
      <c r="K83" s="18"/>
      <c r="L83" s="18"/>
    </row>
    <row r="84" spans="11:12" x14ac:dyDescent="0.3">
      <c r="K84" s="18"/>
      <c r="L84" s="18"/>
    </row>
    <row r="85" spans="11:12" x14ac:dyDescent="0.3">
      <c r="K85" s="18"/>
      <c r="L85" s="18"/>
    </row>
    <row r="86" spans="11:12" x14ac:dyDescent="0.3">
      <c r="K86" s="18"/>
      <c r="L86" s="18"/>
    </row>
    <row r="87" spans="11:12" x14ac:dyDescent="0.3">
      <c r="K87" s="18"/>
      <c r="L87" s="18"/>
    </row>
    <row r="88" spans="11:12" x14ac:dyDescent="0.3">
      <c r="K88" s="18"/>
      <c r="L88" s="18"/>
    </row>
    <row r="89" spans="11:12" x14ac:dyDescent="0.3">
      <c r="K89" s="18"/>
      <c r="L89" s="18"/>
    </row>
    <row r="90" spans="11:12" x14ac:dyDescent="0.3">
      <c r="K90" s="18"/>
      <c r="L90" s="18"/>
    </row>
    <row r="91" spans="11:12" x14ac:dyDescent="0.3">
      <c r="K91" s="18"/>
      <c r="L91" s="18"/>
    </row>
    <row r="92" spans="11:12" x14ac:dyDescent="0.3">
      <c r="K92" s="18"/>
      <c r="L92" s="18"/>
    </row>
    <row r="93" spans="11:12" x14ac:dyDescent="0.3">
      <c r="K93" s="18"/>
      <c r="L93" s="18"/>
    </row>
    <row r="94" spans="11:12" x14ac:dyDescent="0.3">
      <c r="K94" s="18"/>
      <c r="L94" s="18"/>
    </row>
    <row r="95" spans="11:12" x14ac:dyDescent="0.3">
      <c r="K95" s="18"/>
      <c r="L95" s="18"/>
    </row>
    <row r="96" spans="11:12" x14ac:dyDescent="0.3">
      <c r="K96" s="18"/>
      <c r="L96" s="18"/>
    </row>
    <row r="97" spans="11:12" x14ac:dyDescent="0.3">
      <c r="K97" s="18"/>
      <c r="L97" s="18"/>
    </row>
    <row r="98" spans="11:12" x14ac:dyDescent="0.3">
      <c r="K98" s="18"/>
      <c r="L98" s="18"/>
    </row>
    <row r="99" spans="11:12" x14ac:dyDescent="0.3">
      <c r="K99" s="18"/>
      <c r="L99" s="18"/>
    </row>
    <row r="100" spans="11:12" x14ac:dyDescent="0.3">
      <c r="K100" s="18"/>
      <c r="L100" s="18"/>
    </row>
    <row r="101" spans="11:12" x14ac:dyDescent="0.3">
      <c r="K101" s="18"/>
      <c r="L101" s="18"/>
    </row>
    <row r="102" spans="11:12" x14ac:dyDescent="0.3">
      <c r="K102" s="18"/>
      <c r="L102" s="18"/>
    </row>
    <row r="103" spans="11:12" x14ac:dyDescent="0.3">
      <c r="K103" s="18"/>
      <c r="L103" s="18"/>
    </row>
    <row r="104" spans="11:12" x14ac:dyDescent="0.3">
      <c r="K104" s="18"/>
      <c r="L104" s="18"/>
    </row>
    <row r="105" spans="11:12" x14ac:dyDescent="0.3">
      <c r="K105" s="18"/>
      <c r="L105" s="18"/>
    </row>
    <row r="106" spans="11:12" x14ac:dyDescent="0.3">
      <c r="K106" s="18"/>
      <c r="L106" s="18"/>
    </row>
    <row r="107" spans="11:12" x14ac:dyDescent="0.3">
      <c r="K107" s="18"/>
      <c r="L107" s="18"/>
    </row>
    <row r="108" spans="11:12" x14ac:dyDescent="0.3">
      <c r="K108" s="18"/>
      <c r="L108" s="18"/>
    </row>
    <row r="109" spans="11:12" x14ac:dyDescent="0.3">
      <c r="K109" s="18"/>
      <c r="L109" s="18"/>
    </row>
    <row r="110" spans="11:12" x14ac:dyDescent="0.3">
      <c r="K110" s="18"/>
      <c r="L110" s="18"/>
    </row>
    <row r="111" spans="11:12" x14ac:dyDescent="0.3">
      <c r="K111" s="18"/>
      <c r="L111" s="18"/>
    </row>
    <row r="112" spans="11:12" x14ac:dyDescent="0.3">
      <c r="K112" s="18"/>
      <c r="L112" s="18"/>
    </row>
    <row r="113" spans="11:12" x14ac:dyDescent="0.3">
      <c r="K113" s="18"/>
      <c r="L113" s="18"/>
    </row>
    <row r="114" spans="11:12" x14ac:dyDescent="0.3">
      <c r="K114" s="18"/>
      <c r="L114" s="18"/>
    </row>
    <row r="115" spans="11:12" x14ac:dyDescent="0.3">
      <c r="K115" s="18"/>
      <c r="L115" s="18"/>
    </row>
    <row r="116" spans="11:12" x14ac:dyDescent="0.3">
      <c r="K116" s="18"/>
      <c r="L116" s="18"/>
    </row>
    <row r="117" spans="11:12" x14ac:dyDescent="0.3">
      <c r="K117" s="18"/>
      <c r="L117" s="18"/>
    </row>
    <row r="118" spans="11:12" x14ac:dyDescent="0.3">
      <c r="K118" s="18"/>
      <c r="L118" s="18"/>
    </row>
    <row r="119" spans="11:12" x14ac:dyDescent="0.3">
      <c r="K119" s="18"/>
      <c r="L119" s="18"/>
    </row>
    <row r="120" spans="11:12" x14ac:dyDescent="0.3">
      <c r="K120" s="18"/>
      <c r="L120" s="18"/>
    </row>
    <row r="121" spans="11:12" x14ac:dyDescent="0.3">
      <c r="K121" s="18"/>
      <c r="L121" s="18"/>
    </row>
    <row r="122" spans="11:12" x14ac:dyDescent="0.3">
      <c r="K122" s="18"/>
      <c r="L122" s="18"/>
    </row>
    <row r="123" spans="11:12" x14ac:dyDescent="0.3">
      <c r="K123" s="18"/>
      <c r="L123" s="18"/>
    </row>
    <row r="124" spans="11:12" x14ac:dyDescent="0.3">
      <c r="K124" s="18"/>
      <c r="L124" s="18"/>
    </row>
    <row r="125" spans="11:12" x14ac:dyDescent="0.3">
      <c r="K125" s="18"/>
      <c r="L125" s="18"/>
    </row>
    <row r="126" spans="11:12" x14ac:dyDescent="0.3">
      <c r="K126" s="18"/>
      <c r="L126" s="18"/>
    </row>
    <row r="127" spans="11:12" x14ac:dyDescent="0.3">
      <c r="K127" s="18"/>
      <c r="L127" s="18"/>
    </row>
    <row r="128" spans="11:12" x14ac:dyDescent="0.3">
      <c r="K128" s="18"/>
      <c r="L128" s="18"/>
    </row>
    <row r="129" spans="11:12" x14ac:dyDescent="0.3">
      <c r="K129" s="18"/>
      <c r="L129" s="18"/>
    </row>
    <row r="130" spans="11:12" x14ac:dyDescent="0.3">
      <c r="K130" s="18"/>
      <c r="L130" s="18"/>
    </row>
    <row r="131" spans="11:12" x14ac:dyDescent="0.3">
      <c r="K131" s="18"/>
      <c r="L131" s="18"/>
    </row>
    <row r="132" spans="11:12" x14ac:dyDescent="0.3">
      <c r="K132" s="18"/>
      <c r="L132" s="18"/>
    </row>
    <row r="133" spans="11:12" x14ac:dyDescent="0.3">
      <c r="K133" s="18"/>
      <c r="L133" s="18"/>
    </row>
    <row r="134" spans="11:12" x14ac:dyDescent="0.3">
      <c r="K134" s="18"/>
      <c r="L134" s="18"/>
    </row>
    <row r="135" spans="11:12" x14ac:dyDescent="0.3">
      <c r="K135" s="18"/>
      <c r="L135" s="18"/>
    </row>
    <row r="136" spans="11:12" x14ac:dyDescent="0.3">
      <c r="K136" s="18"/>
      <c r="L136" s="18"/>
    </row>
    <row r="137" spans="11:12" x14ac:dyDescent="0.3">
      <c r="K137" s="18"/>
      <c r="L137" s="18"/>
    </row>
    <row r="138" spans="11:12" x14ac:dyDescent="0.3">
      <c r="K138" s="18"/>
      <c r="L138" s="18"/>
    </row>
    <row r="139" spans="11:12" x14ac:dyDescent="0.3">
      <c r="K139" s="18"/>
      <c r="L139" s="18"/>
    </row>
    <row r="140" spans="11:12" x14ac:dyDescent="0.3">
      <c r="K140" s="18"/>
      <c r="L140" s="18"/>
    </row>
    <row r="141" spans="11:12" x14ac:dyDescent="0.3">
      <c r="K141" s="18"/>
      <c r="L141" s="18"/>
    </row>
    <row r="142" spans="11:12" x14ac:dyDescent="0.3">
      <c r="K142" s="18"/>
      <c r="L142" s="18"/>
    </row>
    <row r="143" spans="11:12" x14ac:dyDescent="0.3">
      <c r="K143" s="18"/>
      <c r="L143" s="18"/>
    </row>
    <row r="144" spans="11:12" x14ac:dyDescent="0.3">
      <c r="K144" s="18"/>
      <c r="L144" s="18"/>
    </row>
    <row r="145" spans="11:12" x14ac:dyDescent="0.3">
      <c r="K145" s="18"/>
      <c r="L145" s="18"/>
    </row>
    <row r="146" spans="11:12" x14ac:dyDescent="0.3">
      <c r="K146" s="18"/>
      <c r="L146" s="18"/>
    </row>
    <row r="147" spans="11:12" x14ac:dyDescent="0.3">
      <c r="K147" s="18"/>
      <c r="L147" s="18"/>
    </row>
    <row r="148" spans="11:12" x14ac:dyDescent="0.3">
      <c r="K148" s="18"/>
      <c r="L148" s="18"/>
    </row>
    <row r="149" spans="11:12" x14ac:dyDescent="0.3">
      <c r="K149" s="18"/>
      <c r="L149" s="18"/>
    </row>
    <row r="150" spans="11:12" x14ac:dyDescent="0.3">
      <c r="K150" s="18"/>
      <c r="L150" s="18"/>
    </row>
    <row r="151" spans="11:12" x14ac:dyDescent="0.3">
      <c r="K151" s="18"/>
      <c r="L151" s="18"/>
    </row>
    <row r="152" spans="11:12" x14ac:dyDescent="0.3">
      <c r="K152" s="18"/>
      <c r="L152" s="18"/>
    </row>
    <row r="153" spans="11:12" x14ac:dyDescent="0.3">
      <c r="K153" s="18"/>
      <c r="L153" s="18"/>
    </row>
    <row r="154" spans="11:12" x14ac:dyDescent="0.3">
      <c r="K154" s="18"/>
      <c r="L154" s="18"/>
    </row>
    <row r="155" spans="11:12" x14ac:dyDescent="0.3">
      <c r="K155" s="18"/>
      <c r="L155" s="18"/>
    </row>
    <row r="156" spans="11:12" x14ac:dyDescent="0.3">
      <c r="K156" s="18"/>
      <c r="L156" s="18"/>
    </row>
    <row r="157" spans="11:12" x14ac:dyDescent="0.3">
      <c r="K157" s="18"/>
      <c r="L157" s="18"/>
    </row>
    <row r="158" spans="11:12" x14ac:dyDescent="0.3">
      <c r="K158" s="18"/>
      <c r="L158" s="18"/>
    </row>
    <row r="159" spans="11:12" x14ac:dyDescent="0.3">
      <c r="K159" s="18"/>
      <c r="L159" s="18"/>
    </row>
    <row r="160" spans="11:12" x14ac:dyDescent="0.3">
      <c r="K160" s="18"/>
      <c r="L160" s="18"/>
    </row>
    <row r="161" spans="11:12" x14ac:dyDescent="0.3">
      <c r="K161" s="18"/>
      <c r="L161" s="18"/>
    </row>
    <row r="162" spans="11:12" x14ac:dyDescent="0.3">
      <c r="K162" s="18"/>
      <c r="L162" s="18"/>
    </row>
    <row r="163" spans="11:12" x14ac:dyDescent="0.3">
      <c r="K163" s="18"/>
      <c r="L163" s="18"/>
    </row>
    <row r="164" spans="11:12" x14ac:dyDescent="0.3">
      <c r="K164" s="18"/>
      <c r="L164" s="18"/>
    </row>
    <row r="165" spans="11:12" x14ac:dyDescent="0.3">
      <c r="K165" s="18"/>
      <c r="L165" s="18"/>
    </row>
    <row r="166" spans="11:12" x14ac:dyDescent="0.3">
      <c r="K166" s="18"/>
      <c r="L166" s="18"/>
    </row>
    <row r="167" spans="11:12" x14ac:dyDescent="0.3">
      <c r="K167" s="18"/>
      <c r="L167" s="18"/>
    </row>
    <row r="168" spans="11:12" x14ac:dyDescent="0.3">
      <c r="K168" s="18"/>
      <c r="L168" s="18"/>
    </row>
    <row r="169" spans="11:12" x14ac:dyDescent="0.3">
      <c r="K169" s="18"/>
      <c r="L169" s="18"/>
    </row>
    <row r="170" spans="11:12" x14ac:dyDescent="0.3">
      <c r="K170" s="18"/>
      <c r="L170" s="18"/>
    </row>
    <row r="171" spans="11:12" x14ac:dyDescent="0.3">
      <c r="K171" s="18"/>
      <c r="L171" s="18"/>
    </row>
    <row r="172" spans="11:12" x14ac:dyDescent="0.3">
      <c r="K172" s="18"/>
      <c r="L172" s="18"/>
    </row>
    <row r="173" spans="11:12" x14ac:dyDescent="0.3">
      <c r="K173" s="18"/>
      <c r="L173" s="18"/>
    </row>
    <row r="174" spans="11:12" x14ac:dyDescent="0.3">
      <c r="K174" s="18"/>
      <c r="L174" s="18"/>
    </row>
    <row r="175" spans="11:12" x14ac:dyDescent="0.3">
      <c r="K175" s="18"/>
      <c r="L175" s="18"/>
    </row>
    <row r="176" spans="11:12" x14ac:dyDescent="0.3">
      <c r="K176" s="18"/>
      <c r="L176" s="18"/>
    </row>
    <row r="177" spans="11:12" x14ac:dyDescent="0.3">
      <c r="K177" s="18"/>
      <c r="L177" s="18"/>
    </row>
    <row r="178" spans="11:12" x14ac:dyDescent="0.3">
      <c r="K178" s="18"/>
      <c r="L178" s="18"/>
    </row>
    <row r="179" spans="11:12" x14ac:dyDescent="0.3">
      <c r="K179" s="18"/>
      <c r="L179" s="18"/>
    </row>
    <row r="180" spans="11:12" x14ac:dyDescent="0.3">
      <c r="K180" s="18"/>
      <c r="L180" s="18"/>
    </row>
    <row r="181" spans="11:12" x14ac:dyDescent="0.3">
      <c r="K181" s="18"/>
      <c r="L181" s="18"/>
    </row>
    <row r="182" spans="11:12" x14ac:dyDescent="0.3">
      <c r="K182" s="18"/>
      <c r="L182" s="18"/>
    </row>
    <row r="183" spans="11:12" x14ac:dyDescent="0.3">
      <c r="K183" s="18"/>
      <c r="L183" s="18"/>
    </row>
    <row r="184" spans="11:12" x14ac:dyDescent="0.3">
      <c r="K184" s="18"/>
      <c r="L184" s="18"/>
    </row>
    <row r="185" spans="11:12" x14ac:dyDescent="0.3">
      <c r="K185" s="18"/>
      <c r="L185" s="18"/>
    </row>
    <row r="186" spans="11:12" x14ac:dyDescent="0.3">
      <c r="K186" s="18"/>
      <c r="L186" s="18"/>
    </row>
    <row r="187" spans="11:12" x14ac:dyDescent="0.3">
      <c r="K187" s="18"/>
      <c r="L187" s="18"/>
    </row>
    <row r="188" spans="11:12" x14ac:dyDescent="0.3">
      <c r="K188" s="18"/>
      <c r="L188" s="18"/>
    </row>
    <row r="189" spans="11:12" x14ac:dyDescent="0.3">
      <c r="K189" s="18"/>
      <c r="L189" s="18"/>
    </row>
    <row r="190" spans="11:12" x14ac:dyDescent="0.3">
      <c r="K190" s="18"/>
      <c r="L190" s="18"/>
    </row>
    <row r="191" spans="11:12" x14ac:dyDescent="0.3">
      <c r="K191" s="18"/>
      <c r="L191" s="18"/>
    </row>
    <row r="192" spans="11:12" x14ac:dyDescent="0.3">
      <c r="K192" s="18"/>
      <c r="L192" s="18"/>
    </row>
    <row r="193" spans="11:12" x14ac:dyDescent="0.3">
      <c r="K193" s="18"/>
      <c r="L193" s="18"/>
    </row>
    <row r="194" spans="11:12" x14ac:dyDescent="0.3">
      <c r="K194" s="18"/>
      <c r="L194" s="18"/>
    </row>
    <row r="195" spans="11:12" x14ac:dyDescent="0.3">
      <c r="K195" s="18"/>
      <c r="L195" s="18"/>
    </row>
    <row r="196" spans="11:12" x14ac:dyDescent="0.3">
      <c r="K196" s="18"/>
      <c r="L196" s="18"/>
    </row>
    <row r="197" spans="11:12" x14ac:dyDescent="0.3">
      <c r="K197" s="18"/>
      <c r="L197" s="18"/>
    </row>
    <row r="198" spans="11:12" x14ac:dyDescent="0.3">
      <c r="K198" s="18"/>
      <c r="L198" s="18"/>
    </row>
    <row r="199" spans="11:12" x14ac:dyDescent="0.3">
      <c r="K199" s="18"/>
      <c r="L199" s="18"/>
    </row>
    <row r="200" spans="11:12" x14ac:dyDescent="0.3">
      <c r="K200" s="18"/>
      <c r="L200" s="18"/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</vt:lpstr>
      <vt:lpstr>Logical Function</vt:lpstr>
      <vt:lpstr>Lookup</vt:lpstr>
      <vt:lpstr>Sorting</vt:lpstr>
      <vt:lpstr>Pivot_Table</vt:lpstr>
      <vt:lpstr>Pivot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Ankita Dawn</cp:lastModifiedBy>
  <dcterms:created xsi:type="dcterms:W3CDTF">2026-02-06T17:58:21Z</dcterms:created>
  <dcterms:modified xsi:type="dcterms:W3CDTF">2026-02-07T15:32:32Z</dcterms:modified>
</cp:coreProperties>
</file>